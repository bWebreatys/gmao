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CCUEIL" sheetId="1" state="visible" r:id="rId1"/>
    <sheet xmlns:r="http://schemas.openxmlformats.org/officeDocument/2006/relationships" name="COMPOSANTS" sheetId="2" state="visible" r:id="rId2"/>
    <sheet xmlns:r="http://schemas.openxmlformats.org/officeDocument/2006/relationships" name="LISTES" sheetId="3" state="hidden" r:id="rId3"/>
    <sheet xmlns:r="http://schemas.openxmlformats.org/officeDocument/2006/relationships" name="EQUIPEMENTS" sheetId="4" state="visible" r:id="rId4"/>
    <sheet xmlns:r="http://schemas.openxmlformats.org/officeDocument/2006/relationships" name="MAINT_PREV" sheetId="5" state="visible" r:id="rId5"/>
    <sheet xmlns:r="http://schemas.openxmlformats.org/officeDocument/2006/relationships" name="PACKAGES" sheetId="6" state="visible" r:id="rId6"/>
    <sheet xmlns:r="http://schemas.openxmlformats.org/officeDocument/2006/relationships" name="FOURNISSEURS" sheetId="7" state="visible" r:id="rId7"/>
    <sheet xmlns:r="http://schemas.openxmlformats.org/officeDocument/2006/relationships" name="INTERVENTIONS" sheetId="8" state="visible" r:id="rId8"/>
    <sheet xmlns:r="http://schemas.openxmlformats.org/officeDocument/2006/relationships" name="TECHNICIENS" sheetId="9" state="visible" r:id="rId9"/>
    <sheet xmlns:r="http://schemas.openxmlformats.org/officeDocument/2006/relationships" name="PIECES" sheetId="10" state="visible" r:id="rId10"/>
    <sheet xmlns:r="http://schemas.openxmlformats.org/officeDocument/2006/relationships" name="BILANS_GMAO" sheetId="11" state="visible" r:id="rId11"/>
    <sheet xmlns:r="http://schemas.openxmlformats.org/officeDocument/2006/relationships" name="ALERTES" sheetId="12" state="visible" r:id="rId12"/>
    <sheet xmlns:r="http://schemas.openxmlformats.org/officeDocument/2006/relationships" name="NOMENCLATURE" sheetId="13" state="visible" r:id="rId13"/>
  </sheets>
  <definedNames>
    <definedName name="_xlnm._FilterDatabase" localSheetId="1" hidden="1">'COMPOSANTS'!$A$1:$P$1</definedName>
    <definedName name="_xlnm._FilterDatabase" localSheetId="3" hidden="1">'EQUIPEMENTS'!$A$1:$U$1</definedName>
    <definedName name="_xlnm._FilterDatabase" localSheetId="4" hidden="1">'MAINT_PREV'!$A$1:$K$1</definedName>
    <definedName name="_xlnm._FilterDatabase" localSheetId="5" hidden="1">'PACKAGES'!$A$1:$J$1</definedName>
    <definedName name="_xlnm._FilterDatabase" localSheetId="6" hidden="1">'FOURNISSEURS'!$A$1:$K$1</definedName>
    <definedName name="_xlnm._FilterDatabase" localSheetId="7" hidden="1">'INTERVENTIONS'!$A$1:$P$1</definedName>
    <definedName name="_xlnm._FilterDatabase" localSheetId="8" hidden="1">'TECHNICIENS'!$A$1:$K$1</definedName>
    <definedName name="_xlnm._FilterDatabase" localSheetId="9" hidden="1">'PIECES'!$A$1:$L$1</definedName>
    <definedName name="_xlnm._FilterDatabase" localSheetId="11" hidden="1">'ALERTES'!$A$1:$K$1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&quot; €&quot;"/>
    <numFmt numFmtId="166" formatCode="0.0%"/>
    <numFmt numFmtId="167" formatCode="DD/MM/YYYY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66666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0"/>
      <u val="single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C00000"/>
      <sz val="10"/>
    </font>
    <font>
      <name val="Arial"/>
      <charset val="1"/>
      <family val="0"/>
      <b val="1"/>
      <i val="1"/>
      <color rgb="FFC00000"/>
      <sz val="10"/>
    </font>
    <font>
      <name val="Arial"/>
      <charset val="1"/>
      <family val="0"/>
      <color rgb="FF15618C"/>
      <sz val="10"/>
    </font>
    <font>
      <name val="Arial"/>
      <family val="2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0"/>
    </font>
    <font>
      <name val="Courier New"/>
      <charset val="1"/>
      <family val="0"/>
      <color rgb="FF15618C"/>
      <sz val="9"/>
    </font>
    <font>
      <name val="Arial"/>
      <charset val="1"/>
      <family val="0"/>
      <color rgb="FF000000"/>
      <sz val="9"/>
    </font>
    <font>
      <name val="Arial"/>
      <charset val="1"/>
      <family val="0"/>
      <color rgb="FFC00000"/>
      <sz val="9"/>
    </font>
  </fonts>
  <fills count="26">
    <fill>
      <patternFill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808080"/>
        <bgColor rgb="FF969696"/>
      </patternFill>
    </fill>
    <fill>
      <patternFill patternType="solid">
        <fgColor rgb="FFF5F5F5"/>
        <bgColor rgb="FFFAFAFA"/>
      </patternFill>
    </fill>
    <fill>
      <patternFill patternType="solid">
        <fgColor rgb="FF1F6B3B"/>
        <bgColor rgb="FF1A5276"/>
      </patternFill>
    </fill>
    <fill>
      <patternFill patternType="solid">
        <fgColor rgb="FF6A3595"/>
        <bgColor rgb="FF993366"/>
      </patternFill>
    </fill>
    <fill>
      <patternFill patternType="solid">
        <fgColor rgb="FF15618C"/>
        <bgColor rgb="FF1A5276"/>
      </patternFill>
    </fill>
    <fill>
      <patternFill patternType="solid">
        <fgColor rgb="FF8B4000"/>
        <bgColor rgb="FF993366"/>
      </patternFill>
    </fill>
    <fill>
      <patternFill patternType="solid">
        <fgColor rgb="FF4A4A00"/>
        <bgColor rgb="FF515151"/>
      </patternFill>
    </fill>
    <fill>
      <patternFill patternType="solid">
        <fgColor rgb="FF003366"/>
        <bgColor rgb="FF1F4E79"/>
      </patternFill>
    </fill>
    <fill>
      <patternFill patternType="solid">
        <fgColor rgb="FF4A0033"/>
        <bgColor rgb="FF800000"/>
      </patternFill>
    </fill>
    <fill>
      <patternFill patternType="solid">
        <fgColor rgb="FF8B0000"/>
        <bgColor rgb="FF800000"/>
      </patternFill>
    </fill>
    <fill>
      <patternFill patternType="solid">
        <fgColor rgb="FF1A5276"/>
        <bgColor rgb="FF1F4E79"/>
      </patternFill>
    </fill>
    <fill>
      <patternFill patternType="solid">
        <fgColor rgb="FF515151"/>
        <bgColor rgb="FF666666"/>
      </patternFill>
    </fill>
    <fill>
      <patternFill patternType="solid">
        <fgColor rgb="FFFFD7D7"/>
        <bgColor rgb="FFFFE0E0"/>
      </patternFill>
    </fill>
    <fill>
      <patternFill patternType="solid">
        <fgColor rgb="FFFAFAFA"/>
        <bgColor rgb="FFFFFFFF"/>
      </patternFill>
    </fill>
    <fill>
      <patternFill patternType="solid">
        <fgColor rgb="FFFFF0CC"/>
        <bgColor rgb="FFFFF0F0"/>
      </patternFill>
    </fill>
    <fill>
      <patternFill patternType="solid">
        <fgColor rgb="FFFFFF99"/>
        <bgColor rgb="FFFFF0CC"/>
      </patternFill>
    </fill>
    <fill>
      <patternFill patternType="solid">
        <fgColor rgb="FFE2EFDA"/>
        <bgColor rgb="FFD6E4F0"/>
      </patternFill>
    </fill>
    <fill>
      <patternFill patternType="solid">
        <fgColor rgb="FFE8D5FF"/>
        <bgColor rgb="FFD6E4F0"/>
      </patternFill>
    </fill>
    <fill>
      <patternFill patternType="solid">
        <fgColor rgb="FFFFF0F0"/>
        <bgColor rgb="FFF5F5F5"/>
      </patternFill>
    </fill>
    <fill>
      <patternFill patternType="solid">
        <fgColor rgb="FFFFE0E0"/>
        <bgColor rgb="FFFFD7D7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AFAFA"/>
      </patternFill>
    </fill>
    <fill>
      <patternFill patternType="solid">
        <fgColor rgb="FF2E75B6"/>
        <bgColor rgb="FF15618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general" vertical="bottom"/>
    </xf>
    <xf numFmtId="0" fontId="8" fillId="16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horizontal="general" vertical="bottom"/>
    </xf>
    <xf numFmtId="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0" fillId="20" borderId="1" applyAlignment="1" pivotButton="0" quotePrefix="0" xfId="0">
      <alignment horizontal="general" vertical="bottom"/>
    </xf>
    <xf numFmtId="0" fontId="9" fillId="21" borderId="2" applyAlignment="1" pivotButton="0" quotePrefix="0" xfId="0">
      <alignment horizontal="left" vertical="center" wrapText="1"/>
    </xf>
    <xf numFmtId="0" fontId="10" fillId="22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left" vertical="center" wrapText="1"/>
    </xf>
    <xf numFmtId="0" fontId="11" fillId="23" borderId="1" applyAlignment="1" pivotButton="0" quotePrefix="0" xfId="0">
      <alignment horizontal="left" vertical="center" wrapText="1"/>
    </xf>
    <xf numFmtId="164" fontId="8" fillId="23" borderId="1" applyAlignment="1" pivotButton="0" quotePrefix="0" xfId="0">
      <alignment horizontal="left" vertical="center" wrapText="1"/>
    </xf>
    <xf numFmtId="0" fontId="8" fillId="24" borderId="1" applyAlignment="1" pivotButton="0" quotePrefix="0" xfId="0">
      <alignment horizontal="left" vertical="center" wrapText="1"/>
    </xf>
    <xf numFmtId="0" fontId="11" fillId="24" borderId="1" applyAlignment="1" pivotButton="0" quotePrefix="0" xfId="0">
      <alignment horizontal="left" vertical="center" wrapText="1"/>
    </xf>
    <xf numFmtId="164" fontId="8" fillId="24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center" vertical="center" wrapText="1"/>
    </xf>
    <xf numFmtId="0" fontId="8" fillId="2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1" fillId="23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165" fontId="8" fillId="23" borderId="1" applyAlignment="1" pivotButton="0" quotePrefix="0" xfId="0">
      <alignment horizontal="left" vertical="center" wrapText="1"/>
    </xf>
    <xf numFmtId="165" fontId="8" fillId="24" borderId="1" applyAlignment="1" pivotButton="0" quotePrefix="0" xfId="0">
      <alignment horizontal="left" vertical="center" wrapText="1"/>
    </xf>
    <xf numFmtId="165" fontId="0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center" wrapText="1"/>
    </xf>
    <xf numFmtId="0" fontId="15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15" fillId="6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general" vertical="bottom"/>
    </xf>
    <xf numFmtId="0" fontId="8" fillId="16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horizontal="general" vertical="bottom"/>
    </xf>
    <xf numFmtId="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0" fillId="20" borderId="1" applyAlignment="1" pivotButton="0" quotePrefix="0" xfId="0">
      <alignment horizontal="general" vertical="bottom"/>
    </xf>
    <xf numFmtId="0" fontId="9" fillId="21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10" fillId="22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left" vertical="center" wrapText="1"/>
    </xf>
    <xf numFmtId="0" fontId="11" fillId="23" borderId="1" applyAlignment="1" pivotButton="0" quotePrefix="0" xfId="0">
      <alignment horizontal="left" vertical="center" wrapText="1"/>
    </xf>
    <xf numFmtId="164" fontId="8" fillId="23" borderId="1" applyAlignment="1" pivotButton="0" quotePrefix="0" xfId="0">
      <alignment horizontal="left" vertical="center" wrapText="1"/>
    </xf>
    <xf numFmtId="0" fontId="8" fillId="24" borderId="1" applyAlignment="1" pivotButton="0" quotePrefix="0" xfId="0">
      <alignment horizontal="left" vertical="center" wrapText="1"/>
    </xf>
    <xf numFmtId="0" fontId="11" fillId="24" borderId="1" applyAlignment="1" pivotButton="0" quotePrefix="0" xfId="0">
      <alignment horizontal="left" vertical="center" wrapText="1"/>
    </xf>
    <xf numFmtId="164" fontId="8" fillId="24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center" vertical="center" wrapText="1"/>
    </xf>
    <xf numFmtId="0" fontId="8" fillId="24" borderId="1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1" fillId="23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165" fontId="8" fillId="23" borderId="1" applyAlignment="1" pivotButton="0" quotePrefix="0" xfId="0">
      <alignment horizontal="left" vertical="center" wrapText="1"/>
    </xf>
    <xf numFmtId="165" fontId="8" fillId="24" borderId="1" applyAlignment="1" pivotButton="0" quotePrefix="0" xfId="0">
      <alignment horizontal="left" vertical="center" wrapText="1"/>
    </xf>
    <xf numFmtId="165" fontId="0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center" wrapText="1"/>
    </xf>
    <xf numFmtId="0" fontId="15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15" fillId="6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FFE0E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FFD7D7"/>
        </patternFill>
      </fill>
    </dxf>
    <dxf>
      <fill>
        <patternFill>
          <bgColor rgb="FFFFF0CC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E8D5FF"/>
        </patternFill>
      </fill>
    </dxf>
    <dxf>
      <fill>
        <patternFill>
          <bgColor rgb="FFFFFF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AFAFA"/>
      <rgbColor rgb="FFFF00FF"/>
      <rgbColor rgb="FF00FFFF"/>
      <rgbColor rgb="FF8B0000"/>
      <rgbColor rgb="FF1F6B3B"/>
      <rgbColor rgb="FF000080"/>
      <rgbColor rgb="FF808000"/>
      <rgbColor rgb="FF800080"/>
      <rgbColor rgb="FF1A5276"/>
      <rgbColor rgb="FFBFBFBF"/>
      <rgbColor rgb="FF808080"/>
      <rgbColor rgb="FF9999FF"/>
      <rgbColor rgb="FF6A3595"/>
      <rgbColor rgb="FFFFF0CC"/>
      <rgbColor rgb="FFD6E4F0"/>
      <rgbColor rgb="FF4A0033"/>
      <rgbColor rgb="FFFF8080"/>
      <rgbColor rgb="FF15618C"/>
      <rgbColor rgb="FFE8D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2EFDA"/>
      <rgbColor rgb="FFFFFF99"/>
      <rgbColor rgb="FFCCCCCC"/>
      <rgbColor rgb="FFFFE0E0"/>
      <rgbColor rgb="FFFFF0F0"/>
      <rgbColor rgb="FFFFD7D7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4A4A00"/>
      <rgbColor rgb="FF8B4000"/>
      <rgbColor rgb="FF993366"/>
      <rgbColor rgb="FF1F4E79"/>
      <rgbColor rgb="FF5151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Cet onglet est une initiative : il permet de rattacher des composants défectueux à leurs équipements parents (ex: dalle, clavier, batterie d'un portable).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C25" authorId="0" shapeId="0">
      <text>
        <t>=Nb réalisées / Total MP * 100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tabColor rgb="FF1F4E79"/>
    <outlinePr summaryBelow="1" summaryRight="1"/>
    <pageSetUpPr fitToPage="0"/>
  </sheetPr>
  <dimension ref="B1:D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8" min="1" max="1"/>
    <col width="35" customWidth="1" style="58" min="2" max="2"/>
    <col width="50" customWidth="1" style="58" min="3" max="3"/>
    <col width="20" customWidth="1" style="58" min="4" max="4"/>
  </cols>
  <sheetData>
    <row r="1" ht="39.75" customHeight="1" s="59">
      <c r="B1" s="60" t="inlineStr">
        <is>
          <t>🏥  GMAO – Gestion de Maintenance Assistée par Ordinateur</t>
        </is>
      </c>
    </row>
    <row r="2" ht="21.75" customHeight="1" s="59">
      <c r="B2" s="61" t="inlineStr">
        <is>
          <t>Outil de suivi biomédical – Hôpital</t>
        </is>
      </c>
    </row>
    <row r="3" ht="9.75" customHeight="1" s="59"/>
    <row r="4" ht="19.5" customHeight="1" s="59">
      <c r="B4" s="62" t="inlineStr">
        <is>
          <t>Navigation – Cliquer sur le nom d'un onglet pour y accéder</t>
        </is>
      </c>
    </row>
    <row r="5" ht="21.75" customHeight="1" s="59">
      <c r="B5" s="63" t="inlineStr">
        <is>
          <t>EQUIPEMENTS</t>
        </is>
      </c>
      <c r="C5" s="64" t="inlineStr">
        <is>
          <t>Inventaire du parc biomédical (produits, packages, états)</t>
        </is>
      </c>
    </row>
    <row r="6" ht="21.75" customHeight="1" s="59">
      <c r="B6" s="65" t="inlineStr">
        <is>
          <t>COMPOSANTS</t>
        </is>
      </c>
      <c r="C6" s="64" t="inlineStr">
        <is>
          <t>Composants rattachés à chaque équipement</t>
        </is>
      </c>
    </row>
    <row r="7" ht="21.75" customHeight="1" s="59">
      <c r="B7" s="66" t="inlineStr">
        <is>
          <t>PACKAGES</t>
        </is>
      </c>
      <c r="C7" s="64" t="inlineStr">
        <is>
          <t>Regroupement de produits en packages (ex: pack PC portable)</t>
        </is>
      </c>
    </row>
    <row r="8" ht="21.75" customHeight="1" s="59">
      <c r="B8" s="67" t="inlineStr">
        <is>
          <t>MAINT_PREV</t>
        </is>
      </c>
      <c r="C8" s="64" t="inlineStr">
        <is>
          <t>Planning de maintenance préventive</t>
        </is>
      </c>
    </row>
    <row r="9" ht="21.75" customHeight="1" s="59">
      <c r="B9" s="68" t="inlineStr">
        <is>
          <t>INTERVENTIONS</t>
        </is>
      </c>
      <c r="C9" s="64" t="inlineStr">
        <is>
          <t>Historique de toutes les interventions</t>
        </is>
      </c>
    </row>
    <row r="10" ht="21.75" customHeight="1" s="59">
      <c r="B10" s="69" t="inlineStr">
        <is>
          <t>FOURNISSEURS</t>
        </is>
      </c>
      <c r="C10" s="64" t="inlineStr">
        <is>
          <t>Référentiel fournisseurs / prestataires</t>
        </is>
      </c>
    </row>
    <row r="11" ht="21.75" customHeight="1" s="59">
      <c r="B11" s="70" t="inlineStr">
        <is>
          <t>PIECES</t>
        </is>
      </c>
      <c r="C11" s="64" t="inlineStr">
        <is>
          <t>Stock de pièces détachées et consommables</t>
        </is>
      </c>
    </row>
    <row r="12" ht="21.75" customHeight="1" s="59">
      <c r="B12" s="71" t="inlineStr">
        <is>
          <t>TECHNICIENS</t>
        </is>
      </c>
      <c r="C12" s="64" t="inlineStr">
        <is>
          <t>Référentiel des techniciens biomédicaux</t>
        </is>
      </c>
    </row>
    <row r="13" ht="21.75" customHeight="1" s="59">
      <c r="B13" s="72" t="inlineStr">
        <is>
          <t>ALERTES</t>
        </is>
      </c>
      <c r="C13" s="64" t="inlineStr">
        <is>
          <t>Suivi des non-conformités et équipements critiques</t>
        </is>
      </c>
    </row>
    <row r="14" ht="21.75" customHeight="1" s="59">
      <c r="B14" s="73" t="inlineStr">
        <is>
          <t>BILANS_GMAO</t>
        </is>
      </c>
      <c r="C14" s="64" t="inlineStr">
        <is>
          <t>Tableaux de bord et indicateurs de performance</t>
        </is>
      </c>
    </row>
    <row r="15" ht="21.75" customHeight="1" s="59">
      <c r="B15" s="74" t="inlineStr">
        <is>
          <t>NOMENCLATURE</t>
        </is>
      </c>
      <c r="C15" s="64" t="inlineStr">
        <is>
          <t>Formules, nomenclatures et aide à l'utilisation</t>
        </is>
      </c>
    </row>
    <row r="17" ht="19.5" customHeight="1" s="59">
      <c r="B17" s="62" t="inlineStr">
        <is>
          <t>Légende des couleurs dans les onglets</t>
        </is>
      </c>
    </row>
    <row r="18" ht="19.5" customHeight="1" s="59">
      <c r="B18" s="75" t="n"/>
      <c r="C18" s="76" t="inlineStr">
        <is>
          <t>Rouge : Équipement critique en panne / alerte urgente</t>
        </is>
      </c>
    </row>
    <row r="19" ht="19.5" customHeight="1" s="59">
      <c r="B19" s="77" t="n"/>
      <c r="C19" s="76" t="inlineStr">
        <is>
          <t>Orange : Maintenance préventive en retard / stock sous minimum</t>
        </is>
      </c>
    </row>
    <row r="20" ht="19.5" customHeight="1" s="59">
      <c r="B20" s="78" t="n"/>
      <c r="C20" s="76" t="inlineStr">
        <is>
          <t>Jaune : Intervention ouverte depuis &gt; 7 jours</t>
        </is>
      </c>
    </row>
    <row r="21" ht="19.5" customHeight="1" s="59">
      <c r="B21" s="79" t="n"/>
      <c r="C21" s="76" t="inlineStr">
        <is>
          <t>Vert : Équipement opérationnel / stock OK</t>
        </is>
      </c>
    </row>
    <row r="22" ht="19.5" customHeight="1" s="59">
      <c r="B22" s="80" t="n"/>
      <c r="C22" s="76" t="inlineStr">
        <is>
          <t>Violet clair : Package (regroupement d'équipements)</t>
        </is>
      </c>
    </row>
    <row r="24" ht="27.75" customHeight="1" s="59">
      <c r="B24" s="81" t="inlineStr">
        <is>
          <t>⚠  Texte en rouge italique dans les onglets = champ ou logique ajouté par initiative (non présent dans le document source).</t>
        </is>
      </c>
      <c r="C24" s="82" t="n"/>
      <c r="D24" s="82" t="n"/>
    </row>
  </sheetData>
  <mergeCells count="5">
    <mergeCell ref="B1:D1"/>
    <mergeCell ref="B4:D4"/>
    <mergeCell ref="B17:D17"/>
    <mergeCell ref="B24:D24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6B3B"/>
    <outlinePr summaryBelow="1" summaryRight="1"/>
    <pageSetUpPr fitToPage="0"/>
  </sheetPr>
  <dimension ref="A1:P5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58" min="1" max="2"/>
    <col width="28" customWidth="1" style="58" min="3" max="3"/>
    <col width="25" customWidth="1" style="58" min="4" max="4"/>
    <col width="22" customWidth="1" style="58" min="5" max="5"/>
    <col width="16" customWidth="1" style="58" min="6" max="6"/>
    <col width="18" customWidth="1" style="58" min="7" max="8"/>
    <col width="25" customWidth="1" style="58" min="9" max="9"/>
    <col width="16" customWidth="1" style="58" min="10" max="10"/>
    <col width="20" customWidth="1" style="58" min="11" max="11"/>
    <col width="18" customWidth="1" style="58" min="12" max="15"/>
    <col width="35" customWidth="1" style="58" min="16" max="16"/>
  </cols>
  <sheetData>
    <row r="1" ht="27.75" customHeight="1" s="59">
      <c r="A1" s="83" t="inlineStr">
        <is>
          <t>Code_Composant</t>
        </is>
      </c>
      <c r="B1" s="83" t="inlineStr">
        <is>
          <t>Code_Equipement</t>
        </is>
      </c>
      <c r="C1" s="83" t="inlineStr">
        <is>
          <t>Designation_Equip</t>
        </is>
      </c>
      <c r="D1" s="83" t="inlineStr">
        <is>
          <t>Nom_Composant</t>
        </is>
      </c>
      <c r="E1" s="83" t="inlineStr">
        <is>
          <t>Type_Composant</t>
        </is>
      </c>
      <c r="F1" s="83" t="inlineStr">
        <is>
          <t>Marque_Composant</t>
        </is>
      </c>
      <c r="G1" s="83" t="inlineStr">
        <is>
          <t>Statut_Composant</t>
        </is>
      </c>
      <c r="H1" s="83" t="inlineStr">
        <is>
          <t>Date_Detection_Defaut</t>
        </is>
      </c>
      <c r="I1" s="83" t="inlineStr">
        <is>
          <t>Action_Requise</t>
        </is>
      </c>
      <c r="J1" s="83" t="inlineStr">
        <is>
          <t>Date_Commande</t>
        </is>
      </c>
      <c r="K1" s="83" t="inlineStr">
        <is>
          <t>Fournisseur_Piece</t>
        </is>
      </c>
      <c r="L1" s="83" t="inlineStr">
        <is>
          <t>Ref_Piece_Commandee</t>
        </is>
      </c>
      <c r="M1" s="83" t="inlineStr">
        <is>
          <t>Date_Remplacement</t>
        </is>
      </c>
      <c r="N1" s="83" t="inlineStr">
        <is>
          <t>Technicien</t>
        </is>
      </c>
      <c r="O1" s="83" t="inlineStr">
        <is>
          <t>Code_Package</t>
        </is>
      </c>
      <c r="P1" s="83" t="inlineStr">
        <is>
          <t>Observation</t>
        </is>
      </c>
    </row>
    <row r="2" ht="19.5" customHeight="1" s="59">
      <c r="A2" s="84" t="inlineStr">
        <is>
          <t>COMP001</t>
        </is>
      </c>
      <c r="B2" s="84" t="inlineStr">
        <is>
          <t>EQ0003</t>
        </is>
      </c>
      <c r="C2" s="85">
        <f>IF(B2="","",IFERROR(VLOOKUP(B2,EQUIPEMENTS!A:B,2,0),""))</f>
        <v/>
      </c>
      <c r="D2" s="84" t="inlineStr">
        <is>
          <t>Dalle écran</t>
        </is>
      </c>
      <c r="E2" s="84" t="inlineStr">
        <is>
          <t>Écran/dalle</t>
        </is>
      </c>
      <c r="F2" s="84" t="inlineStr">
        <is>
          <t>LG</t>
        </is>
      </c>
      <c r="G2" s="84" t="inlineStr">
        <is>
          <t>Défectueux</t>
        </is>
      </c>
      <c r="H2" s="86" t="inlineStr">
        <is>
          <t>2025-04-20</t>
        </is>
      </c>
      <c r="I2" s="84" t="inlineStr">
        <is>
          <t>Remplacement</t>
        </is>
      </c>
      <c r="J2" s="86" t="inlineStr">
        <is>
          <t>2025-04-21</t>
        </is>
      </c>
      <c r="K2" s="84" t="inlineStr">
        <is>
          <t>FOUR003</t>
        </is>
      </c>
      <c r="L2" s="84" t="inlineStr">
        <is>
          <t>REF-DALLE-HP840</t>
        </is>
      </c>
      <c r="M2" s="86" t="n"/>
      <c r="N2" s="84" t="inlineStr">
        <is>
          <t>TECH03</t>
        </is>
      </c>
      <c r="O2" s="84" t="inlineStr">
        <is>
          <t>PKG001</t>
        </is>
      </c>
      <c r="P2" s="84" t="inlineStr">
        <is>
          <t>Dalle cassée - en attente de livraison</t>
        </is>
      </c>
    </row>
    <row r="3" ht="19.5" customHeight="1" s="59">
      <c r="A3" s="87" t="inlineStr">
        <is>
          <t>COMP002</t>
        </is>
      </c>
      <c r="B3" s="87" t="inlineStr">
        <is>
          <t>EQ0003</t>
        </is>
      </c>
      <c r="C3" s="88">
        <f>IF(B3="","",IFERROR(VLOOKUP(B3,EQUIPEMENTS!A:B,2,0),""))</f>
        <v/>
      </c>
      <c r="D3" s="87" t="inlineStr">
        <is>
          <t>Batterie</t>
        </is>
      </c>
      <c r="E3" s="87" t="inlineStr">
        <is>
          <t>Batterie</t>
        </is>
      </c>
      <c r="F3" s="87" t="inlineStr">
        <is>
          <t>HP</t>
        </is>
      </c>
      <c r="G3" s="87" t="inlineStr">
        <is>
          <t>Fonctionnel</t>
        </is>
      </c>
      <c r="H3" s="89" t="n"/>
      <c r="I3" s="87" t="inlineStr">
        <is>
          <t>Aucune</t>
        </is>
      </c>
      <c r="J3" s="89" t="n"/>
      <c r="K3" s="87" t="n"/>
      <c r="L3" s="87" t="n"/>
      <c r="M3" s="89" t="n"/>
      <c r="N3" s="87" t="inlineStr">
        <is>
          <t>TECH03</t>
        </is>
      </c>
      <c r="O3" s="87" t="inlineStr">
        <is>
          <t>PKG001</t>
        </is>
      </c>
      <c r="P3" s="87" t="inlineStr">
        <is>
          <t>Batterie OK - autonomie correcte</t>
        </is>
      </c>
    </row>
    <row r="4" ht="19.5" customHeight="1" s="59">
      <c r="A4" s="84" t="inlineStr">
        <is>
          <t>COMP003</t>
        </is>
      </c>
      <c r="B4" s="84" t="inlineStr">
        <is>
          <t>EQ0003</t>
        </is>
      </c>
      <c r="C4" s="85">
        <f>IF(B4="","",IFERROR(VLOOKUP(B4,EQUIPEMENTS!A:B,2,0),""))</f>
        <v/>
      </c>
      <c r="D4" s="84" t="inlineStr">
        <is>
          <t>Clavier</t>
        </is>
      </c>
      <c r="E4" s="84" t="inlineStr">
        <is>
          <t>Clavier</t>
        </is>
      </c>
      <c r="F4" s="84" t="inlineStr">
        <is>
          <t>HP</t>
        </is>
      </c>
      <c r="G4" s="84" t="inlineStr">
        <is>
          <t>Fonctionnel</t>
        </is>
      </c>
      <c r="H4" s="86" t="n"/>
      <c r="I4" s="84" t="inlineStr">
        <is>
          <t>Aucune</t>
        </is>
      </c>
      <c r="J4" s="86" t="n"/>
      <c r="K4" s="84" t="n"/>
      <c r="L4" s="84" t="n"/>
      <c r="M4" s="86" t="n"/>
      <c r="N4" s="84" t="inlineStr">
        <is>
          <t>TECH03</t>
        </is>
      </c>
      <c r="O4" s="84" t="inlineStr">
        <is>
          <t>PKG001</t>
        </is>
      </c>
      <c r="P4" s="84" t="inlineStr">
        <is>
          <t>Clavier OK</t>
        </is>
      </c>
    </row>
    <row r="5" ht="19.5" customHeight="1" s="59">
      <c r="A5" s="87" t="inlineStr">
        <is>
          <t>COMP004</t>
        </is>
      </c>
      <c r="B5" s="87" t="inlineStr">
        <is>
          <t>EQ0002</t>
        </is>
      </c>
      <c r="C5" s="88">
        <f>IF(B5="","",IFERROR(VLOOKUP(B5,EQUIPEMENTS!A:B,2,0),""))</f>
        <v/>
      </c>
      <c r="D5" s="87" t="inlineStr">
        <is>
          <t>Filtre principal</t>
        </is>
      </c>
      <c r="E5" s="87" t="inlineStr">
        <is>
          <t>Filtre</t>
        </is>
      </c>
      <c r="F5" s="87" t="inlineStr">
        <is>
          <t>Invacare</t>
        </is>
      </c>
      <c r="G5" s="87" t="inlineStr">
        <is>
          <t>Défectueux</t>
        </is>
      </c>
      <c r="H5" s="89" t="inlineStr">
        <is>
          <t>2025-05-01</t>
        </is>
      </c>
      <c r="I5" s="87" t="inlineStr">
        <is>
          <t>Remplacement</t>
        </is>
      </c>
      <c r="J5" s="89" t="inlineStr">
        <is>
          <t>2025-05-02</t>
        </is>
      </c>
      <c r="K5" s="87" t="inlineStr">
        <is>
          <t>FOUR002</t>
        </is>
      </c>
      <c r="L5" s="87" t="inlineStr">
        <is>
          <t>REF-FILTRE-02</t>
        </is>
      </c>
      <c r="M5" s="89" t="n"/>
      <c r="N5" s="87" t="inlineStr">
        <is>
          <t>TECH02</t>
        </is>
      </c>
      <c r="O5" s="87" t="n"/>
      <c r="P5" s="87" t="inlineStr">
        <is>
          <t>Encrassé - commande passée</t>
        </is>
      </c>
    </row>
    <row r="6" ht="15" customHeight="1" s="59">
      <c r="A6" s="58" t="n"/>
      <c r="B6" s="58" t="n"/>
      <c r="C6" s="90">
        <f>IF(B6="","",IFERROR(VLOOKUP(B6,EQUIPEMENTS!A:B,2,0),""))</f>
        <v/>
      </c>
      <c r="D6" s="58" t="n"/>
      <c r="G6" s="58" t="n"/>
      <c r="H6" s="91" t="n"/>
      <c r="J6" s="91" t="n"/>
      <c r="M6" s="91" t="n"/>
    </row>
    <row r="7" ht="15" customHeight="1" s="59">
      <c r="C7" s="90">
        <f>IF(B7="","",IFERROR(VLOOKUP(B7,EQUIPEMENTS!A:B,2,0),""))</f>
        <v/>
      </c>
      <c r="H7" s="91" t="n"/>
      <c r="J7" s="91" t="n"/>
      <c r="M7" s="91" t="n"/>
    </row>
    <row r="8" ht="15" customHeight="1" s="59">
      <c r="C8" s="90">
        <f>IF(B8="","",IFERROR(VLOOKUP(B8,EQUIPEMENTS!A:B,2,0),""))</f>
        <v/>
      </c>
      <c r="H8" s="91" t="n"/>
      <c r="J8" s="91" t="n"/>
      <c r="M8" s="91" t="n"/>
    </row>
    <row r="9" ht="15" customHeight="1" s="59">
      <c r="C9" s="90">
        <f>IF(B9="","",IFERROR(VLOOKUP(B9,EQUIPEMENTS!A:B,2,0),""))</f>
        <v/>
      </c>
      <c r="H9" s="91" t="n"/>
      <c r="J9" s="91" t="n"/>
      <c r="M9" s="91" t="n"/>
    </row>
    <row r="10" ht="15" customHeight="1" s="59">
      <c r="C10" s="90">
        <f>IF(B10="","",IFERROR(VLOOKUP(B10,EQUIPEMENTS!A:B,2,0),""))</f>
        <v/>
      </c>
      <c r="H10" s="91" t="n"/>
      <c r="J10" s="91" t="n"/>
      <c r="M10" s="91" t="n"/>
    </row>
    <row r="11" ht="15" customHeight="1" s="59">
      <c r="C11" s="90">
        <f>IF(B11="","",IFERROR(VLOOKUP(B11,EQUIPEMENTS!A:B,2,0),""))</f>
        <v/>
      </c>
      <c r="H11" s="91" t="n"/>
      <c r="J11" s="91" t="n"/>
      <c r="M11" s="91" t="n"/>
    </row>
    <row r="12" ht="15" customHeight="1" s="59">
      <c r="C12" s="90">
        <f>IF(B12="","",IFERROR(VLOOKUP(B12,EQUIPEMENTS!A:B,2,0),""))</f>
        <v/>
      </c>
      <c r="H12" s="91" t="n"/>
      <c r="J12" s="91" t="n"/>
      <c r="M12" s="91" t="n"/>
    </row>
    <row r="13" ht="15" customHeight="1" s="59">
      <c r="C13" s="90">
        <f>IF(B13="","",IFERROR(VLOOKUP(B13,EQUIPEMENTS!A:B,2,0),""))</f>
        <v/>
      </c>
      <c r="H13" s="91" t="n"/>
      <c r="J13" s="91" t="n"/>
      <c r="M13" s="91" t="n"/>
    </row>
    <row r="14" ht="15" customHeight="1" s="59">
      <c r="C14" s="90">
        <f>IF(B14="","",IFERROR(VLOOKUP(B14,EQUIPEMENTS!A:B,2,0),""))</f>
        <v/>
      </c>
      <c r="H14" s="91" t="n"/>
      <c r="J14" s="91" t="n"/>
      <c r="M14" s="91" t="n"/>
    </row>
    <row r="15" ht="15" customHeight="1" s="59">
      <c r="C15" s="90">
        <f>IF(B15="","",IFERROR(VLOOKUP(B15,EQUIPEMENTS!A:B,2,0),""))</f>
        <v/>
      </c>
      <c r="H15" s="91" t="n"/>
      <c r="J15" s="91" t="n"/>
      <c r="M15" s="91" t="n"/>
    </row>
    <row r="16" ht="15" customHeight="1" s="59">
      <c r="C16" s="90">
        <f>IF(B16="","",IFERROR(VLOOKUP(B16,EQUIPEMENTS!A:B,2,0),""))</f>
        <v/>
      </c>
      <c r="H16" s="91" t="n"/>
      <c r="J16" s="91" t="n"/>
      <c r="M16" s="91" t="n"/>
    </row>
    <row r="17" ht="15" customHeight="1" s="59">
      <c r="C17" s="90">
        <f>IF(B17="","",IFERROR(VLOOKUP(B17,EQUIPEMENTS!A:B,2,0),""))</f>
        <v/>
      </c>
      <c r="H17" s="91" t="n"/>
      <c r="J17" s="91" t="n"/>
      <c r="M17" s="91" t="n"/>
    </row>
    <row r="18" ht="15" customHeight="1" s="59">
      <c r="C18" s="90">
        <f>IF(B18="","",IFERROR(VLOOKUP(B18,EQUIPEMENTS!A:B,2,0),""))</f>
        <v/>
      </c>
      <c r="H18" s="91" t="n"/>
      <c r="J18" s="91" t="n"/>
      <c r="M18" s="91" t="n"/>
    </row>
    <row r="19" ht="15" customHeight="1" s="59">
      <c r="C19" s="90">
        <f>IF(B19="","",IFERROR(VLOOKUP(B19,EQUIPEMENTS!A:B,2,0),""))</f>
        <v/>
      </c>
      <c r="H19" s="91" t="n"/>
      <c r="J19" s="91" t="n"/>
      <c r="M19" s="91" t="n"/>
    </row>
    <row r="20" ht="15" customHeight="1" s="59">
      <c r="C20" s="90">
        <f>IF(B20="","",IFERROR(VLOOKUP(B20,EQUIPEMENTS!A:B,2,0),""))</f>
        <v/>
      </c>
      <c r="H20" s="91" t="n"/>
      <c r="J20" s="91" t="n"/>
      <c r="M20" s="91" t="n"/>
    </row>
    <row r="21" ht="15" customHeight="1" s="59">
      <c r="C21" s="90">
        <f>IF(B21="","",IFERROR(VLOOKUP(B21,EQUIPEMENTS!A:B,2,0),""))</f>
        <v/>
      </c>
      <c r="H21" s="91" t="n"/>
      <c r="J21" s="91" t="n"/>
      <c r="M21" s="91" t="n"/>
    </row>
    <row r="22" ht="15" customHeight="1" s="59">
      <c r="C22" s="90">
        <f>IF(B22="","",IFERROR(VLOOKUP(B22,EQUIPEMENTS!A:B,2,0),""))</f>
        <v/>
      </c>
      <c r="H22" s="91" t="n"/>
      <c r="J22" s="91" t="n"/>
      <c r="M22" s="91" t="n"/>
    </row>
    <row r="23" ht="15" customHeight="1" s="59">
      <c r="C23" s="90">
        <f>IF(B23="","",IFERROR(VLOOKUP(B23,EQUIPEMENTS!A:B,2,0),""))</f>
        <v/>
      </c>
      <c r="H23" s="91" t="n"/>
      <c r="J23" s="91" t="n"/>
      <c r="M23" s="91" t="n"/>
    </row>
    <row r="24" ht="15" customHeight="1" s="59">
      <c r="C24" s="90">
        <f>IF(B24="","",IFERROR(VLOOKUP(B24,EQUIPEMENTS!A:B,2,0),""))</f>
        <v/>
      </c>
      <c r="H24" s="91" t="n"/>
      <c r="J24" s="91" t="n"/>
      <c r="M24" s="91" t="n"/>
    </row>
    <row r="25" ht="15" customHeight="1" s="59">
      <c r="C25" s="90">
        <f>IF(B25="","",IFERROR(VLOOKUP(B25,EQUIPEMENTS!A:B,2,0),""))</f>
        <v/>
      </c>
      <c r="H25" s="91" t="n"/>
      <c r="J25" s="91" t="n"/>
      <c r="M25" s="91" t="n"/>
    </row>
    <row r="26" ht="15" customHeight="1" s="59">
      <c r="C26" s="90">
        <f>IF(B26="","",IFERROR(VLOOKUP(B26,EQUIPEMENTS!A:B,2,0),""))</f>
        <v/>
      </c>
      <c r="H26" s="91" t="n"/>
      <c r="J26" s="91" t="n"/>
      <c r="M26" s="91" t="n"/>
    </row>
    <row r="27" ht="15" customHeight="1" s="59">
      <c r="C27" s="90">
        <f>IF(B27="","",IFERROR(VLOOKUP(B27,EQUIPEMENTS!A:B,2,0),""))</f>
        <v/>
      </c>
      <c r="H27" s="91" t="n"/>
      <c r="J27" s="91" t="n"/>
      <c r="M27" s="91" t="n"/>
    </row>
    <row r="28" ht="15" customHeight="1" s="59">
      <c r="C28" s="90">
        <f>IF(B28="","",IFERROR(VLOOKUP(B28,EQUIPEMENTS!A:B,2,0),""))</f>
        <v/>
      </c>
      <c r="H28" s="91" t="n"/>
      <c r="J28" s="91" t="n"/>
      <c r="M28" s="91" t="n"/>
    </row>
    <row r="29" ht="15" customHeight="1" s="59">
      <c r="C29" s="90">
        <f>IF(B29="","",IFERROR(VLOOKUP(B29,EQUIPEMENTS!A:B,2,0),""))</f>
        <v/>
      </c>
      <c r="H29" s="91" t="n"/>
      <c r="J29" s="91" t="n"/>
      <c r="M29" s="91" t="n"/>
    </row>
    <row r="30" ht="15" customHeight="1" s="59">
      <c r="C30" s="90">
        <f>IF(B30="","",IFERROR(VLOOKUP(B30,EQUIPEMENTS!A:B,2,0),""))</f>
        <v/>
      </c>
      <c r="H30" s="91" t="n"/>
      <c r="J30" s="91" t="n"/>
      <c r="M30" s="91" t="n"/>
    </row>
    <row r="31" ht="15" customHeight="1" s="59">
      <c r="C31" s="90">
        <f>IF(B31="","",IFERROR(VLOOKUP(B31,EQUIPEMENTS!A:B,2,0),""))</f>
        <v/>
      </c>
      <c r="H31" s="91" t="n"/>
      <c r="J31" s="91" t="n"/>
      <c r="M31" s="91" t="n"/>
    </row>
    <row r="32" ht="15" customHeight="1" s="59">
      <c r="C32" s="90">
        <f>IF(B32="","",IFERROR(VLOOKUP(B32,EQUIPEMENTS!A:B,2,0),""))</f>
        <v/>
      </c>
      <c r="H32" s="91" t="n"/>
      <c r="J32" s="91" t="n"/>
      <c r="M32" s="91" t="n"/>
    </row>
    <row r="33" ht="15" customHeight="1" s="59">
      <c r="C33" s="90">
        <f>IF(B33="","",IFERROR(VLOOKUP(B33,EQUIPEMENTS!A:B,2,0),""))</f>
        <v/>
      </c>
      <c r="H33" s="91" t="n"/>
      <c r="J33" s="91" t="n"/>
      <c r="M33" s="91" t="n"/>
    </row>
    <row r="34" ht="15" customHeight="1" s="59">
      <c r="C34" s="90">
        <f>IF(B34="","",IFERROR(VLOOKUP(B34,EQUIPEMENTS!A:B,2,0),""))</f>
        <v/>
      </c>
      <c r="H34" s="91" t="n"/>
      <c r="J34" s="91" t="n"/>
      <c r="M34" s="91" t="n"/>
    </row>
    <row r="35" ht="15" customHeight="1" s="59">
      <c r="C35" s="90">
        <f>IF(B35="","",IFERROR(VLOOKUP(B35,EQUIPEMENTS!A:B,2,0),""))</f>
        <v/>
      </c>
      <c r="H35" s="91" t="n"/>
      <c r="J35" s="91" t="n"/>
      <c r="M35" s="91" t="n"/>
    </row>
    <row r="36" ht="15" customHeight="1" s="59">
      <c r="C36" s="90">
        <f>IF(B36="","",IFERROR(VLOOKUP(B36,EQUIPEMENTS!A:B,2,0),""))</f>
        <v/>
      </c>
      <c r="H36" s="91" t="n"/>
      <c r="J36" s="91" t="n"/>
      <c r="M36" s="91" t="n"/>
    </row>
    <row r="37" ht="15" customHeight="1" s="59">
      <c r="C37" s="90">
        <f>IF(B37="","",IFERROR(VLOOKUP(B37,EQUIPEMENTS!A:B,2,0),""))</f>
        <v/>
      </c>
      <c r="H37" s="91" t="n"/>
      <c r="J37" s="91" t="n"/>
      <c r="M37" s="91" t="n"/>
    </row>
    <row r="38" ht="15" customHeight="1" s="59">
      <c r="C38" s="90">
        <f>IF(B38="","",IFERROR(VLOOKUP(B38,EQUIPEMENTS!A:B,2,0),""))</f>
        <v/>
      </c>
      <c r="H38" s="91" t="n"/>
      <c r="J38" s="91" t="n"/>
      <c r="M38" s="91" t="n"/>
    </row>
    <row r="39" ht="15" customHeight="1" s="59">
      <c r="C39" s="90">
        <f>IF(B39="","",IFERROR(VLOOKUP(B39,EQUIPEMENTS!A:B,2,0),""))</f>
        <v/>
      </c>
      <c r="H39" s="91" t="n"/>
      <c r="J39" s="91" t="n"/>
      <c r="M39" s="91" t="n"/>
    </row>
    <row r="40" ht="15" customHeight="1" s="59">
      <c r="C40" s="90">
        <f>IF(B40="","",IFERROR(VLOOKUP(B40,EQUIPEMENTS!A:B,2,0),""))</f>
        <v/>
      </c>
      <c r="H40" s="91" t="n"/>
      <c r="J40" s="91" t="n"/>
      <c r="M40" s="91" t="n"/>
    </row>
    <row r="41" ht="15" customHeight="1" s="59">
      <c r="C41" s="90">
        <f>IF(B41="","",IFERROR(VLOOKUP(B41,EQUIPEMENTS!A:B,2,0),""))</f>
        <v/>
      </c>
      <c r="H41" s="91" t="n"/>
      <c r="J41" s="91" t="n"/>
      <c r="M41" s="91" t="n"/>
    </row>
    <row r="42" ht="15" customHeight="1" s="59">
      <c r="C42" s="90">
        <f>IF(B42="","",IFERROR(VLOOKUP(B42,EQUIPEMENTS!A:B,2,0),""))</f>
        <v/>
      </c>
      <c r="H42" s="91" t="n"/>
      <c r="J42" s="91" t="n"/>
      <c r="M42" s="91" t="n"/>
    </row>
    <row r="43" ht="15" customHeight="1" s="59">
      <c r="C43" s="90">
        <f>IF(B43="","",IFERROR(VLOOKUP(B43,EQUIPEMENTS!A:B,2,0),""))</f>
        <v/>
      </c>
      <c r="H43" s="91" t="n"/>
      <c r="J43" s="91" t="n"/>
      <c r="M43" s="91" t="n"/>
    </row>
    <row r="44" ht="15" customHeight="1" s="59">
      <c r="C44" s="90">
        <f>IF(B44="","",IFERROR(VLOOKUP(B44,EQUIPEMENTS!A:B,2,0),""))</f>
        <v/>
      </c>
      <c r="H44" s="91" t="n"/>
      <c r="J44" s="91" t="n"/>
      <c r="M44" s="91" t="n"/>
    </row>
    <row r="45" ht="15" customHeight="1" s="59">
      <c r="C45" s="90">
        <f>IF(B45="","",IFERROR(VLOOKUP(B45,EQUIPEMENTS!A:B,2,0),""))</f>
        <v/>
      </c>
      <c r="H45" s="91" t="n"/>
      <c r="J45" s="91" t="n"/>
      <c r="M45" s="91" t="n"/>
    </row>
    <row r="46" ht="15" customHeight="1" s="59">
      <c r="C46" s="90">
        <f>IF(B46="","",IFERROR(VLOOKUP(B46,EQUIPEMENTS!A:B,2,0),""))</f>
        <v/>
      </c>
      <c r="H46" s="91" t="n"/>
      <c r="J46" s="91" t="n"/>
      <c r="M46" s="91" t="n"/>
    </row>
    <row r="47" ht="15" customHeight="1" s="59">
      <c r="C47" s="90">
        <f>IF(B47="","",IFERROR(VLOOKUP(B47,EQUIPEMENTS!A:B,2,0),""))</f>
        <v/>
      </c>
      <c r="H47" s="91" t="n"/>
      <c r="J47" s="91" t="n"/>
      <c r="M47" s="91" t="n"/>
    </row>
    <row r="48" ht="15" customHeight="1" s="59">
      <c r="C48" s="90">
        <f>IF(B48="","",IFERROR(VLOOKUP(B48,EQUIPEMENTS!A:B,2,0),""))</f>
        <v/>
      </c>
      <c r="H48" s="91" t="n"/>
      <c r="J48" s="91" t="n"/>
      <c r="M48" s="91" t="n"/>
    </row>
    <row r="49" ht="15" customHeight="1" s="59">
      <c r="C49" s="90">
        <f>IF(B49="","",IFERROR(VLOOKUP(B49,EQUIPEMENTS!A:B,2,0),""))</f>
        <v/>
      </c>
      <c r="H49" s="91" t="n"/>
      <c r="J49" s="91" t="n"/>
      <c r="M49" s="91" t="n"/>
    </row>
    <row r="50" ht="15" customHeight="1" s="59">
      <c r="C50" s="90">
        <f>IF(B50="","",IFERROR(VLOOKUP(B50,EQUIPEMENTS!A:B,2,0),""))</f>
        <v/>
      </c>
      <c r="H50" s="91" t="n"/>
      <c r="J50" s="91" t="n"/>
      <c r="M50" s="91" t="n"/>
    </row>
    <row r="51" ht="15" customHeight="1" s="59">
      <c r="C51" s="90">
        <f>IF(B51="","",IFERROR(VLOOKUP(B51,EQUIPEMENTS!A:B,2,0),""))</f>
        <v/>
      </c>
      <c r="H51" s="91" t="n"/>
      <c r="J51" s="91" t="n"/>
      <c r="M51" s="91" t="n"/>
    </row>
    <row r="52" ht="15" customHeight="1" s="59">
      <c r="C52" s="90">
        <f>IF(B52="","",IFERROR(VLOOKUP(B52,EQUIPEMENTS!A:B,2,0),""))</f>
        <v/>
      </c>
      <c r="H52" s="91" t="n"/>
      <c r="J52" s="91" t="n"/>
      <c r="M52" s="91" t="n"/>
    </row>
    <row r="53" ht="15" customHeight="1" s="59">
      <c r="C53" s="90">
        <f>IF(B53="","",IFERROR(VLOOKUP(B53,EQUIPEMENTS!A:B,2,0),""))</f>
        <v/>
      </c>
      <c r="H53" s="91" t="n"/>
      <c r="J53" s="91" t="n"/>
      <c r="M53" s="91" t="n"/>
    </row>
    <row r="54" ht="15" customHeight="1" s="59">
      <c r="C54" s="90">
        <f>IF(B54="","",IFERROR(VLOOKUP(B54,EQUIPEMENTS!A:B,2,0),""))</f>
        <v/>
      </c>
      <c r="H54" s="91" t="n"/>
      <c r="J54" s="91" t="n"/>
      <c r="M54" s="91" t="n"/>
    </row>
    <row r="55" ht="15" customHeight="1" s="59">
      <c r="C55" s="90">
        <f>IF(B55="","",IFERROR(VLOOKUP(B55,EQUIPEMENTS!A:B,2,0),""))</f>
        <v/>
      </c>
      <c r="H55" s="91" t="n"/>
      <c r="J55" s="91" t="n"/>
      <c r="M55" s="91" t="n"/>
    </row>
    <row r="56" ht="15" customHeight="1" s="59">
      <c r="C56" s="90">
        <f>IF(B56="","",IFERROR(VLOOKUP(B56,EQUIPEMENTS!A:B,2,0),""))</f>
        <v/>
      </c>
      <c r="H56" s="91" t="n"/>
      <c r="J56" s="91" t="n"/>
      <c r="M56" s="91" t="n"/>
    </row>
    <row r="57" ht="15" customHeight="1" s="59">
      <c r="C57" s="90">
        <f>IF(B57="","",IFERROR(VLOOKUP(B57,EQUIPEMENTS!A:B,2,0),""))</f>
        <v/>
      </c>
      <c r="H57" s="91" t="n"/>
      <c r="J57" s="91" t="n"/>
      <c r="M57" s="91" t="n"/>
    </row>
    <row r="58" ht="15" customHeight="1" s="59">
      <c r="C58" s="90">
        <f>IF(B58="","",IFERROR(VLOOKUP(B58,EQUIPEMENTS!A:B,2,0),""))</f>
        <v/>
      </c>
      <c r="H58" s="91" t="n"/>
      <c r="J58" s="91" t="n"/>
      <c r="M58" s="91" t="n"/>
    </row>
    <row r="59" ht="15" customHeight="1" s="59">
      <c r="C59" s="90">
        <f>IF(B59="","",IFERROR(VLOOKUP(B59,EQUIPEMENTS!A:B,2,0),""))</f>
        <v/>
      </c>
      <c r="H59" s="91" t="n"/>
      <c r="J59" s="91" t="n"/>
      <c r="M59" s="91" t="n"/>
    </row>
    <row r="60" ht="15" customHeight="1" s="59">
      <c r="C60" s="90">
        <f>IF(B60="","",IFERROR(VLOOKUP(B60,EQUIPEMENTS!A:B,2,0),""))</f>
        <v/>
      </c>
      <c r="H60" s="91" t="n"/>
      <c r="J60" s="91" t="n"/>
      <c r="M60" s="91" t="n"/>
    </row>
    <row r="61" ht="15" customHeight="1" s="59">
      <c r="C61" s="90">
        <f>IF(B61="","",IFERROR(VLOOKUP(B61,EQUIPEMENTS!A:B,2,0),""))</f>
        <v/>
      </c>
      <c r="H61" s="91" t="n"/>
      <c r="J61" s="91" t="n"/>
      <c r="M61" s="91" t="n"/>
    </row>
    <row r="62" ht="15" customHeight="1" s="59">
      <c r="C62" s="90">
        <f>IF(B62="","",IFERROR(VLOOKUP(B62,EQUIPEMENTS!A:B,2,0),""))</f>
        <v/>
      </c>
      <c r="H62" s="91" t="n"/>
      <c r="J62" s="91" t="n"/>
      <c r="M62" s="91" t="n"/>
    </row>
    <row r="63" ht="15" customHeight="1" s="59">
      <c r="C63" s="90">
        <f>IF(B63="","",IFERROR(VLOOKUP(B63,EQUIPEMENTS!A:B,2,0),""))</f>
        <v/>
      </c>
      <c r="H63" s="91" t="n"/>
      <c r="J63" s="91" t="n"/>
      <c r="M63" s="91" t="n"/>
    </row>
    <row r="64" ht="15" customHeight="1" s="59">
      <c r="C64" s="90">
        <f>IF(B64="","",IFERROR(VLOOKUP(B64,EQUIPEMENTS!A:B,2,0),""))</f>
        <v/>
      </c>
      <c r="H64" s="91" t="n"/>
      <c r="J64" s="91" t="n"/>
      <c r="M64" s="91" t="n"/>
    </row>
    <row r="65" ht="15" customHeight="1" s="59">
      <c r="C65" s="90">
        <f>IF(B65="","",IFERROR(VLOOKUP(B65,EQUIPEMENTS!A:B,2,0),""))</f>
        <v/>
      </c>
      <c r="H65" s="91" t="n"/>
      <c r="J65" s="91" t="n"/>
      <c r="M65" s="91" t="n"/>
    </row>
    <row r="66" ht="15" customHeight="1" s="59">
      <c r="C66" s="90">
        <f>IF(B66="","",IFERROR(VLOOKUP(B66,EQUIPEMENTS!A:B,2,0),""))</f>
        <v/>
      </c>
      <c r="H66" s="91" t="n"/>
      <c r="J66" s="91" t="n"/>
      <c r="M66" s="91" t="n"/>
    </row>
    <row r="67" ht="15" customHeight="1" s="59">
      <c r="C67" s="90">
        <f>IF(B67="","",IFERROR(VLOOKUP(B67,EQUIPEMENTS!A:B,2,0),""))</f>
        <v/>
      </c>
      <c r="H67" s="91" t="n"/>
      <c r="J67" s="91" t="n"/>
      <c r="M67" s="91" t="n"/>
    </row>
    <row r="68" ht="15" customHeight="1" s="59">
      <c r="C68" s="90">
        <f>IF(B68="","",IFERROR(VLOOKUP(B68,EQUIPEMENTS!A:B,2,0),""))</f>
        <v/>
      </c>
      <c r="H68" s="91" t="n"/>
      <c r="J68" s="91" t="n"/>
      <c r="M68" s="91" t="n"/>
    </row>
    <row r="69" ht="15" customHeight="1" s="59">
      <c r="C69" s="90">
        <f>IF(B69="","",IFERROR(VLOOKUP(B69,EQUIPEMENTS!A:B,2,0),""))</f>
        <v/>
      </c>
      <c r="H69" s="91" t="n"/>
      <c r="J69" s="91" t="n"/>
      <c r="M69" s="91" t="n"/>
    </row>
    <row r="70" ht="15" customHeight="1" s="59">
      <c r="C70" s="90">
        <f>IF(B70="","",IFERROR(VLOOKUP(B70,EQUIPEMENTS!A:B,2,0),""))</f>
        <v/>
      </c>
      <c r="H70" s="91" t="n"/>
      <c r="J70" s="91" t="n"/>
      <c r="M70" s="91" t="n"/>
    </row>
    <row r="71" ht="15" customHeight="1" s="59">
      <c r="C71" s="90">
        <f>IF(B71="","",IFERROR(VLOOKUP(B71,EQUIPEMENTS!A:B,2,0),""))</f>
        <v/>
      </c>
      <c r="H71" s="91" t="n"/>
      <c r="J71" s="91" t="n"/>
      <c r="M71" s="91" t="n"/>
    </row>
    <row r="72" ht="15" customHeight="1" s="59">
      <c r="C72" s="90">
        <f>IF(B72="","",IFERROR(VLOOKUP(B72,EQUIPEMENTS!A:B,2,0),""))</f>
        <v/>
      </c>
      <c r="H72" s="91" t="n"/>
      <c r="J72" s="91" t="n"/>
      <c r="M72" s="91" t="n"/>
    </row>
    <row r="73" ht="15" customHeight="1" s="59">
      <c r="C73" s="90">
        <f>IF(B73="","",IFERROR(VLOOKUP(B73,EQUIPEMENTS!A:B,2,0),""))</f>
        <v/>
      </c>
      <c r="H73" s="91" t="n"/>
      <c r="J73" s="91" t="n"/>
      <c r="M73" s="91" t="n"/>
    </row>
    <row r="74" ht="15" customHeight="1" s="59">
      <c r="C74" s="90">
        <f>IF(B74="","",IFERROR(VLOOKUP(B74,EQUIPEMENTS!A:B,2,0),""))</f>
        <v/>
      </c>
      <c r="H74" s="91" t="n"/>
      <c r="J74" s="91" t="n"/>
      <c r="M74" s="91" t="n"/>
    </row>
    <row r="75" ht="15" customHeight="1" s="59">
      <c r="C75" s="90">
        <f>IF(B75="","",IFERROR(VLOOKUP(B75,EQUIPEMENTS!A:B,2,0),""))</f>
        <v/>
      </c>
      <c r="H75" s="91" t="n"/>
      <c r="J75" s="91" t="n"/>
      <c r="M75" s="91" t="n"/>
    </row>
    <row r="76" ht="15" customHeight="1" s="59">
      <c r="C76" s="90">
        <f>IF(B76="","",IFERROR(VLOOKUP(B76,EQUIPEMENTS!A:B,2,0),""))</f>
        <v/>
      </c>
      <c r="H76" s="91" t="n"/>
      <c r="J76" s="91" t="n"/>
      <c r="M76" s="91" t="n"/>
    </row>
    <row r="77" ht="15" customHeight="1" s="59">
      <c r="C77" s="90">
        <f>IF(B77="","",IFERROR(VLOOKUP(B77,EQUIPEMENTS!A:B,2,0),""))</f>
        <v/>
      </c>
      <c r="H77" s="91" t="n"/>
      <c r="J77" s="91" t="n"/>
      <c r="M77" s="91" t="n"/>
    </row>
    <row r="78" ht="15" customHeight="1" s="59">
      <c r="C78" s="90">
        <f>IF(B78="","",IFERROR(VLOOKUP(B78,EQUIPEMENTS!A:B,2,0),""))</f>
        <v/>
      </c>
      <c r="H78" s="91" t="n"/>
      <c r="J78" s="91" t="n"/>
      <c r="M78" s="91" t="n"/>
    </row>
    <row r="79" ht="15" customHeight="1" s="59">
      <c r="C79" s="90">
        <f>IF(B79="","",IFERROR(VLOOKUP(B79,EQUIPEMENTS!A:B,2,0),""))</f>
        <v/>
      </c>
      <c r="H79" s="91" t="n"/>
      <c r="J79" s="91" t="n"/>
      <c r="M79" s="91" t="n"/>
    </row>
    <row r="80" ht="15" customHeight="1" s="59">
      <c r="C80" s="90">
        <f>IF(B80="","",IFERROR(VLOOKUP(B80,EQUIPEMENTS!A:B,2,0),""))</f>
        <v/>
      </c>
      <c r="H80" s="91" t="n"/>
      <c r="J80" s="91" t="n"/>
      <c r="M80" s="91" t="n"/>
    </row>
    <row r="81" ht="15" customHeight="1" s="59">
      <c r="C81" s="90">
        <f>IF(B81="","",IFERROR(VLOOKUP(B81,EQUIPEMENTS!A:B,2,0),""))</f>
        <v/>
      </c>
      <c r="H81" s="91" t="n"/>
      <c r="J81" s="91" t="n"/>
      <c r="M81" s="91" t="n"/>
    </row>
    <row r="82" ht="15" customHeight="1" s="59">
      <c r="C82" s="90">
        <f>IF(B82="","",IFERROR(VLOOKUP(B82,EQUIPEMENTS!A:B,2,0),""))</f>
        <v/>
      </c>
      <c r="H82" s="91" t="n"/>
      <c r="J82" s="91" t="n"/>
      <c r="M82" s="91" t="n"/>
    </row>
    <row r="83" ht="15" customHeight="1" s="59">
      <c r="C83" s="90">
        <f>IF(B83="","",IFERROR(VLOOKUP(B83,EQUIPEMENTS!A:B,2,0),""))</f>
        <v/>
      </c>
      <c r="H83" s="91" t="n"/>
      <c r="J83" s="91" t="n"/>
      <c r="M83" s="91" t="n"/>
    </row>
    <row r="84" ht="15" customHeight="1" s="59">
      <c r="C84" s="90">
        <f>IF(B84="","",IFERROR(VLOOKUP(B84,EQUIPEMENTS!A:B,2,0),""))</f>
        <v/>
      </c>
      <c r="H84" s="91" t="n"/>
      <c r="J84" s="91" t="n"/>
      <c r="M84" s="91" t="n"/>
    </row>
    <row r="85" ht="15" customHeight="1" s="59">
      <c r="C85" s="90">
        <f>IF(B85="","",IFERROR(VLOOKUP(B85,EQUIPEMENTS!A:B,2,0),""))</f>
        <v/>
      </c>
      <c r="H85" s="91" t="n"/>
      <c r="J85" s="91" t="n"/>
      <c r="M85" s="91" t="n"/>
    </row>
    <row r="86" ht="15" customHeight="1" s="59">
      <c r="C86" s="90">
        <f>IF(B86="","",IFERROR(VLOOKUP(B86,EQUIPEMENTS!A:B,2,0),""))</f>
        <v/>
      </c>
      <c r="H86" s="91" t="n"/>
      <c r="J86" s="91" t="n"/>
      <c r="M86" s="91" t="n"/>
    </row>
    <row r="87" ht="15" customHeight="1" s="59">
      <c r="C87" s="90">
        <f>IF(B87="","",IFERROR(VLOOKUP(B87,EQUIPEMENTS!A:B,2,0),""))</f>
        <v/>
      </c>
      <c r="H87" s="91" t="n"/>
      <c r="J87" s="91" t="n"/>
      <c r="M87" s="91" t="n"/>
    </row>
    <row r="88" ht="15" customHeight="1" s="59">
      <c r="C88" s="90">
        <f>IF(B88="","",IFERROR(VLOOKUP(B88,EQUIPEMENTS!A:B,2,0),""))</f>
        <v/>
      </c>
      <c r="H88" s="91" t="n"/>
      <c r="J88" s="91" t="n"/>
      <c r="M88" s="91" t="n"/>
    </row>
    <row r="89" ht="15" customHeight="1" s="59">
      <c r="C89" s="90">
        <f>IF(B89="","",IFERROR(VLOOKUP(B89,EQUIPEMENTS!A:B,2,0),""))</f>
        <v/>
      </c>
      <c r="H89" s="91" t="n"/>
      <c r="J89" s="91" t="n"/>
      <c r="M89" s="91" t="n"/>
    </row>
    <row r="90" ht="15" customHeight="1" s="59">
      <c r="C90" s="90">
        <f>IF(B90="","",IFERROR(VLOOKUP(B90,EQUIPEMENTS!A:B,2,0),""))</f>
        <v/>
      </c>
      <c r="H90" s="91" t="n"/>
      <c r="J90" s="91" t="n"/>
      <c r="M90" s="91" t="n"/>
    </row>
    <row r="91" ht="15" customHeight="1" s="59">
      <c r="C91" s="90">
        <f>IF(B91="","",IFERROR(VLOOKUP(B91,EQUIPEMENTS!A:B,2,0),""))</f>
        <v/>
      </c>
      <c r="H91" s="91" t="n"/>
      <c r="J91" s="91" t="n"/>
      <c r="M91" s="91" t="n"/>
    </row>
    <row r="92" ht="15" customHeight="1" s="59">
      <c r="C92" s="90">
        <f>IF(B92="","",IFERROR(VLOOKUP(B92,EQUIPEMENTS!A:B,2,0),""))</f>
        <v/>
      </c>
      <c r="H92" s="91" t="n"/>
      <c r="J92" s="91" t="n"/>
      <c r="M92" s="91" t="n"/>
    </row>
    <row r="93" ht="15" customHeight="1" s="59">
      <c r="C93" s="90">
        <f>IF(B93="","",IFERROR(VLOOKUP(B93,EQUIPEMENTS!A:B,2,0),""))</f>
        <v/>
      </c>
      <c r="H93" s="91" t="n"/>
      <c r="J93" s="91" t="n"/>
      <c r="M93" s="91" t="n"/>
    </row>
    <row r="94" ht="15" customHeight="1" s="59">
      <c r="C94" s="90">
        <f>IF(B94="","",IFERROR(VLOOKUP(B94,EQUIPEMENTS!A:B,2,0),""))</f>
        <v/>
      </c>
      <c r="H94" s="91" t="n"/>
      <c r="J94" s="91" t="n"/>
      <c r="M94" s="91" t="n"/>
    </row>
    <row r="95" ht="15" customHeight="1" s="59">
      <c r="C95" s="90">
        <f>IF(B95="","",IFERROR(VLOOKUP(B95,EQUIPEMENTS!A:B,2,0),""))</f>
        <v/>
      </c>
      <c r="H95" s="91" t="n"/>
      <c r="J95" s="91" t="n"/>
      <c r="M95" s="91" t="n"/>
    </row>
    <row r="96" ht="15" customHeight="1" s="59">
      <c r="C96" s="90">
        <f>IF(B96="","",IFERROR(VLOOKUP(B96,EQUIPEMENTS!A:B,2,0),""))</f>
        <v/>
      </c>
      <c r="H96" s="91" t="n"/>
      <c r="J96" s="91" t="n"/>
      <c r="M96" s="91" t="n"/>
    </row>
    <row r="97" ht="15" customHeight="1" s="59">
      <c r="C97" s="90">
        <f>IF(B97="","",IFERROR(VLOOKUP(B97,EQUIPEMENTS!A:B,2,0),""))</f>
        <v/>
      </c>
      <c r="H97" s="91" t="n"/>
      <c r="J97" s="91" t="n"/>
      <c r="M97" s="91" t="n"/>
    </row>
    <row r="98" ht="15" customHeight="1" s="59">
      <c r="C98" s="90">
        <f>IF(B98="","",IFERROR(VLOOKUP(B98,EQUIPEMENTS!A:B,2,0),""))</f>
        <v/>
      </c>
      <c r="H98" s="91" t="n"/>
      <c r="J98" s="91" t="n"/>
      <c r="M98" s="91" t="n"/>
    </row>
    <row r="99" ht="15" customHeight="1" s="59">
      <c r="C99" s="90">
        <f>IF(B99="","",IFERROR(VLOOKUP(B99,EQUIPEMENTS!A:B,2,0),""))</f>
        <v/>
      </c>
      <c r="H99" s="91" t="n"/>
      <c r="J99" s="91" t="n"/>
      <c r="M99" s="91" t="n"/>
    </row>
    <row r="100" ht="15" customHeight="1" s="59">
      <c r="C100" s="90">
        <f>IF(B100="","",IFERROR(VLOOKUP(B100,EQUIPEMENTS!A:B,2,0),""))</f>
        <v/>
      </c>
      <c r="H100" s="91" t="n"/>
      <c r="J100" s="91" t="n"/>
      <c r="M100" s="91" t="n"/>
    </row>
    <row r="101" ht="15" customHeight="1" s="59">
      <c r="C101" s="90">
        <f>IF(B101="","",IFERROR(VLOOKUP(B101,EQUIPEMENTS!A:B,2,0),""))</f>
        <v/>
      </c>
      <c r="H101" s="91" t="n"/>
      <c r="J101" s="91" t="n"/>
      <c r="M101" s="91" t="n"/>
    </row>
    <row r="102" ht="15" customHeight="1" s="59">
      <c r="C102" s="90">
        <f>IF(B102="","",IFERROR(VLOOKUP(B102,EQUIPEMENTS!A:B,2,0),""))</f>
        <v/>
      </c>
      <c r="H102" s="91" t="n"/>
      <c r="J102" s="91" t="n"/>
      <c r="M102" s="91" t="n"/>
    </row>
    <row r="103" ht="15" customHeight="1" s="59">
      <c r="C103" s="90">
        <f>IF(B103="","",IFERROR(VLOOKUP(B103,EQUIPEMENTS!A:B,2,0),""))</f>
        <v/>
      </c>
      <c r="H103" s="91" t="n"/>
      <c r="J103" s="91" t="n"/>
      <c r="M103" s="91" t="n"/>
    </row>
    <row r="104" ht="15" customHeight="1" s="59">
      <c r="C104" s="90">
        <f>IF(B104="","",IFERROR(VLOOKUP(B104,EQUIPEMENTS!A:B,2,0),""))</f>
        <v/>
      </c>
      <c r="H104" s="91" t="n"/>
      <c r="J104" s="91" t="n"/>
      <c r="M104" s="91" t="n"/>
    </row>
    <row r="105" ht="15" customHeight="1" s="59">
      <c r="C105" s="90">
        <f>IF(B105="","",IFERROR(VLOOKUP(B105,EQUIPEMENTS!A:B,2,0),""))</f>
        <v/>
      </c>
      <c r="H105" s="91" t="n"/>
      <c r="J105" s="91" t="n"/>
      <c r="M105" s="91" t="n"/>
    </row>
    <row r="106" ht="15" customHeight="1" s="59">
      <c r="C106" s="90">
        <f>IF(B106="","",IFERROR(VLOOKUP(B106,EQUIPEMENTS!A:B,2,0),""))</f>
        <v/>
      </c>
      <c r="H106" s="91" t="n"/>
      <c r="J106" s="91" t="n"/>
      <c r="M106" s="91" t="n"/>
    </row>
    <row r="107" ht="15" customHeight="1" s="59">
      <c r="C107" s="90">
        <f>IF(B107="","",IFERROR(VLOOKUP(B107,EQUIPEMENTS!A:B,2,0),""))</f>
        <v/>
      </c>
      <c r="H107" s="91" t="n"/>
      <c r="J107" s="91" t="n"/>
      <c r="M107" s="91" t="n"/>
    </row>
    <row r="108" ht="15" customHeight="1" s="59">
      <c r="C108" s="90">
        <f>IF(B108="","",IFERROR(VLOOKUP(B108,EQUIPEMENTS!A:B,2,0),""))</f>
        <v/>
      </c>
      <c r="H108" s="91" t="n"/>
      <c r="J108" s="91" t="n"/>
      <c r="M108" s="91" t="n"/>
    </row>
    <row r="109" ht="15" customHeight="1" s="59">
      <c r="C109" s="90">
        <f>IF(B109="","",IFERROR(VLOOKUP(B109,EQUIPEMENTS!A:B,2,0),""))</f>
        <v/>
      </c>
      <c r="H109" s="91" t="n"/>
      <c r="J109" s="91" t="n"/>
      <c r="M109" s="91" t="n"/>
    </row>
    <row r="110" ht="15" customHeight="1" s="59">
      <c r="C110" s="90">
        <f>IF(B110="","",IFERROR(VLOOKUP(B110,EQUIPEMENTS!A:B,2,0),""))</f>
        <v/>
      </c>
      <c r="H110" s="91" t="n"/>
      <c r="J110" s="91" t="n"/>
      <c r="M110" s="91" t="n"/>
    </row>
    <row r="111" ht="15" customHeight="1" s="59">
      <c r="C111" s="90">
        <f>IF(B111="","",IFERROR(VLOOKUP(B111,EQUIPEMENTS!A:B,2,0),""))</f>
        <v/>
      </c>
      <c r="H111" s="91" t="n"/>
      <c r="J111" s="91" t="n"/>
      <c r="M111" s="91" t="n"/>
    </row>
    <row r="112" ht="15" customHeight="1" s="59">
      <c r="C112" s="90">
        <f>IF(B112="","",IFERROR(VLOOKUP(B112,EQUIPEMENTS!A:B,2,0),""))</f>
        <v/>
      </c>
      <c r="H112" s="91" t="n"/>
      <c r="J112" s="91" t="n"/>
      <c r="M112" s="91" t="n"/>
    </row>
    <row r="113" ht="15" customHeight="1" s="59">
      <c r="C113" s="90">
        <f>IF(B113="","",IFERROR(VLOOKUP(B113,EQUIPEMENTS!A:B,2,0),""))</f>
        <v/>
      </c>
      <c r="H113" s="91" t="n"/>
      <c r="J113" s="91" t="n"/>
      <c r="M113" s="91" t="n"/>
    </row>
    <row r="114" ht="15" customHeight="1" s="59">
      <c r="C114" s="90">
        <f>IF(B114="","",IFERROR(VLOOKUP(B114,EQUIPEMENTS!A:B,2,0),""))</f>
        <v/>
      </c>
      <c r="H114" s="91" t="n"/>
      <c r="J114" s="91" t="n"/>
      <c r="M114" s="91" t="n"/>
    </row>
    <row r="115" ht="15" customHeight="1" s="59">
      <c r="C115" s="90">
        <f>IF(B115="","",IFERROR(VLOOKUP(B115,EQUIPEMENTS!A:B,2,0),""))</f>
        <v/>
      </c>
      <c r="H115" s="91" t="n"/>
      <c r="J115" s="91" t="n"/>
      <c r="M115" s="91" t="n"/>
    </row>
    <row r="116" ht="15" customHeight="1" s="59">
      <c r="C116" s="90">
        <f>IF(B116="","",IFERROR(VLOOKUP(B116,EQUIPEMENTS!A:B,2,0),""))</f>
        <v/>
      </c>
      <c r="H116" s="91" t="n"/>
      <c r="J116" s="91" t="n"/>
      <c r="M116" s="91" t="n"/>
    </row>
    <row r="117" ht="15" customHeight="1" s="59">
      <c r="C117" s="90">
        <f>IF(B117="","",IFERROR(VLOOKUP(B117,EQUIPEMENTS!A:B,2,0),""))</f>
        <v/>
      </c>
      <c r="H117" s="91" t="n"/>
      <c r="J117" s="91" t="n"/>
      <c r="M117" s="91" t="n"/>
    </row>
    <row r="118" ht="15" customHeight="1" s="59">
      <c r="C118" s="90">
        <f>IF(B118="","",IFERROR(VLOOKUP(B118,EQUIPEMENTS!A:B,2,0),""))</f>
        <v/>
      </c>
      <c r="H118" s="91" t="n"/>
      <c r="J118" s="91" t="n"/>
      <c r="M118" s="91" t="n"/>
    </row>
    <row r="119" ht="15" customHeight="1" s="59">
      <c r="C119" s="90">
        <f>IF(B119="","",IFERROR(VLOOKUP(B119,EQUIPEMENTS!A:B,2,0),""))</f>
        <v/>
      </c>
      <c r="H119" s="91" t="n"/>
      <c r="J119" s="91" t="n"/>
      <c r="M119" s="91" t="n"/>
    </row>
    <row r="120" ht="15" customHeight="1" s="59">
      <c r="C120" s="90">
        <f>IF(B120="","",IFERROR(VLOOKUP(B120,EQUIPEMENTS!A:B,2,0),""))</f>
        <v/>
      </c>
      <c r="H120" s="91" t="n"/>
      <c r="J120" s="91" t="n"/>
      <c r="M120" s="91" t="n"/>
    </row>
    <row r="121" ht="15" customHeight="1" s="59">
      <c r="C121" s="90">
        <f>IF(B121="","",IFERROR(VLOOKUP(B121,EQUIPEMENTS!A:B,2,0),""))</f>
        <v/>
      </c>
      <c r="H121" s="91" t="n"/>
      <c r="J121" s="91" t="n"/>
      <c r="M121" s="91" t="n"/>
    </row>
    <row r="122" ht="15" customHeight="1" s="59">
      <c r="C122" s="90">
        <f>IF(B122="","",IFERROR(VLOOKUP(B122,EQUIPEMENTS!A:B,2,0),""))</f>
        <v/>
      </c>
      <c r="H122" s="91" t="n"/>
      <c r="J122" s="91" t="n"/>
      <c r="M122" s="91" t="n"/>
    </row>
    <row r="123" ht="15" customHeight="1" s="59">
      <c r="C123" s="90">
        <f>IF(B123="","",IFERROR(VLOOKUP(B123,EQUIPEMENTS!A:B,2,0),""))</f>
        <v/>
      </c>
      <c r="H123" s="91" t="n"/>
      <c r="J123" s="91" t="n"/>
      <c r="M123" s="91" t="n"/>
    </row>
    <row r="124" ht="15" customHeight="1" s="59">
      <c r="C124" s="90">
        <f>IF(B124="","",IFERROR(VLOOKUP(B124,EQUIPEMENTS!A:B,2,0),""))</f>
        <v/>
      </c>
      <c r="H124" s="91" t="n"/>
      <c r="J124" s="91" t="n"/>
      <c r="M124" s="91" t="n"/>
    </row>
    <row r="125" ht="15" customHeight="1" s="59">
      <c r="C125" s="90">
        <f>IF(B125="","",IFERROR(VLOOKUP(B125,EQUIPEMENTS!A:B,2,0),""))</f>
        <v/>
      </c>
      <c r="H125" s="91" t="n"/>
      <c r="J125" s="91" t="n"/>
      <c r="M125" s="91" t="n"/>
    </row>
    <row r="126" ht="15" customHeight="1" s="59">
      <c r="C126" s="90">
        <f>IF(B126="","",IFERROR(VLOOKUP(B126,EQUIPEMENTS!A:B,2,0),""))</f>
        <v/>
      </c>
      <c r="H126" s="91" t="n"/>
      <c r="J126" s="91" t="n"/>
      <c r="M126" s="91" t="n"/>
    </row>
    <row r="127" ht="15" customHeight="1" s="59">
      <c r="C127" s="90">
        <f>IF(B127="","",IFERROR(VLOOKUP(B127,EQUIPEMENTS!A:B,2,0),""))</f>
        <v/>
      </c>
      <c r="H127" s="91" t="n"/>
      <c r="J127" s="91" t="n"/>
      <c r="M127" s="91" t="n"/>
    </row>
    <row r="128" ht="15" customHeight="1" s="59">
      <c r="C128" s="90">
        <f>IF(B128="","",IFERROR(VLOOKUP(B128,EQUIPEMENTS!A:B,2,0),""))</f>
        <v/>
      </c>
      <c r="H128" s="91" t="n"/>
      <c r="J128" s="91" t="n"/>
      <c r="M128" s="91" t="n"/>
    </row>
    <row r="129" ht="15" customHeight="1" s="59">
      <c r="C129" s="90">
        <f>IF(B129="","",IFERROR(VLOOKUP(B129,EQUIPEMENTS!A:B,2,0),""))</f>
        <v/>
      </c>
      <c r="H129" s="91" t="n"/>
      <c r="J129" s="91" t="n"/>
      <c r="M129" s="91" t="n"/>
    </row>
    <row r="130" ht="15" customHeight="1" s="59">
      <c r="C130" s="90">
        <f>IF(B130="","",IFERROR(VLOOKUP(B130,EQUIPEMENTS!A:B,2,0),""))</f>
        <v/>
      </c>
      <c r="H130" s="91" t="n"/>
      <c r="J130" s="91" t="n"/>
      <c r="M130" s="91" t="n"/>
    </row>
    <row r="131" ht="15" customHeight="1" s="59">
      <c r="C131" s="90">
        <f>IF(B131="","",IFERROR(VLOOKUP(B131,EQUIPEMENTS!A:B,2,0),""))</f>
        <v/>
      </c>
      <c r="H131" s="91" t="n"/>
      <c r="J131" s="91" t="n"/>
      <c r="M131" s="91" t="n"/>
    </row>
    <row r="132" ht="15" customHeight="1" s="59">
      <c r="C132" s="90">
        <f>IF(B132="","",IFERROR(VLOOKUP(B132,EQUIPEMENTS!A:B,2,0),""))</f>
        <v/>
      </c>
      <c r="H132" s="91" t="n"/>
      <c r="J132" s="91" t="n"/>
      <c r="M132" s="91" t="n"/>
    </row>
    <row r="133" ht="15" customHeight="1" s="59">
      <c r="C133" s="90">
        <f>IF(B133="","",IFERROR(VLOOKUP(B133,EQUIPEMENTS!A:B,2,0),""))</f>
        <v/>
      </c>
      <c r="H133" s="91" t="n"/>
      <c r="J133" s="91" t="n"/>
      <c r="M133" s="91" t="n"/>
    </row>
    <row r="134" ht="15" customHeight="1" s="59">
      <c r="C134" s="90">
        <f>IF(B134="","",IFERROR(VLOOKUP(B134,EQUIPEMENTS!A:B,2,0),""))</f>
        <v/>
      </c>
      <c r="H134" s="91" t="n"/>
      <c r="J134" s="91" t="n"/>
      <c r="M134" s="91" t="n"/>
    </row>
    <row r="135" ht="15" customHeight="1" s="59">
      <c r="C135" s="90">
        <f>IF(B135="","",IFERROR(VLOOKUP(B135,EQUIPEMENTS!A:B,2,0),""))</f>
        <v/>
      </c>
      <c r="H135" s="91" t="n"/>
      <c r="J135" s="91" t="n"/>
      <c r="M135" s="91" t="n"/>
    </row>
    <row r="136" ht="15" customHeight="1" s="59">
      <c r="C136" s="90">
        <f>IF(B136="","",IFERROR(VLOOKUP(B136,EQUIPEMENTS!A:B,2,0),""))</f>
        <v/>
      </c>
      <c r="H136" s="91" t="n"/>
      <c r="J136" s="91" t="n"/>
      <c r="M136" s="91" t="n"/>
    </row>
    <row r="137" ht="15" customHeight="1" s="59">
      <c r="C137" s="90">
        <f>IF(B137="","",IFERROR(VLOOKUP(B137,EQUIPEMENTS!A:B,2,0),""))</f>
        <v/>
      </c>
      <c r="H137" s="91" t="n"/>
      <c r="J137" s="91" t="n"/>
      <c r="M137" s="91" t="n"/>
    </row>
    <row r="138" ht="15" customHeight="1" s="59">
      <c r="C138" s="90">
        <f>IF(B138="","",IFERROR(VLOOKUP(B138,EQUIPEMENTS!A:B,2,0),""))</f>
        <v/>
      </c>
      <c r="H138" s="91" t="n"/>
      <c r="J138" s="91" t="n"/>
      <c r="M138" s="91" t="n"/>
    </row>
    <row r="139" ht="15" customHeight="1" s="59">
      <c r="C139" s="90">
        <f>IF(B139="","",IFERROR(VLOOKUP(B139,EQUIPEMENTS!A:B,2,0),""))</f>
        <v/>
      </c>
      <c r="H139" s="91" t="n"/>
      <c r="J139" s="91" t="n"/>
      <c r="M139" s="91" t="n"/>
    </row>
    <row r="140" ht="15" customHeight="1" s="59">
      <c r="C140" s="90">
        <f>IF(B140="","",IFERROR(VLOOKUP(B140,EQUIPEMENTS!A:B,2,0),""))</f>
        <v/>
      </c>
      <c r="H140" s="91" t="n"/>
      <c r="J140" s="91" t="n"/>
      <c r="M140" s="91" t="n"/>
    </row>
    <row r="141" ht="15" customHeight="1" s="59">
      <c r="C141" s="90">
        <f>IF(B141="","",IFERROR(VLOOKUP(B141,EQUIPEMENTS!A:B,2,0),""))</f>
        <v/>
      </c>
      <c r="H141" s="91" t="n"/>
      <c r="J141" s="91" t="n"/>
      <c r="M141" s="91" t="n"/>
    </row>
    <row r="142" ht="15" customHeight="1" s="59">
      <c r="C142" s="90">
        <f>IF(B142="","",IFERROR(VLOOKUP(B142,EQUIPEMENTS!A:B,2,0),""))</f>
        <v/>
      </c>
      <c r="H142" s="91" t="n"/>
      <c r="J142" s="91" t="n"/>
      <c r="M142" s="91" t="n"/>
    </row>
    <row r="143" ht="15" customHeight="1" s="59">
      <c r="C143" s="90">
        <f>IF(B143="","",IFERROR(VLOOKUP(B143,EQUIPEMENTS!A:B,2,0),""))</f>
        <v/>
      </c>
      <c r="H143" s="91" t="n"/>
      <c r="J143" s="91" t="n"/>
      <c r="M143" s="91" t="n"/>
    </row>
    <row r="144" ht="15" customHeight="1" s="59">
      <c r="C144" s="90">
        <f>IF(B144="","",IFERROR(VLOOKUP(B144,EQUIPEMENTS!A:B,2,0),""))</f>
        <v/>
      </c>
      <c r="H144" s="91" t="n"/>
      <c r="J144" s="91" t="n"/>
      <c r="M144" s="91" t="n"/>
    </row>
    <row r="145" ht="15" customHeight="1" s="59">
      <c r="C145" s="90">
        <f>IF(B145="","",IFERROR(VLOOKUP(B145,EQUIPEMENTS!A:B,2,0),""))</f>
        <v/>
      </c>
      <c r="H145" s="91" t="n"/>
      <c r="J145" s="91" t="n"/>
      <c r="M145" s="91" t="n"/>
    </row>
    <row r="146" ht="15" customHeight="1" s="59">
      <c r="C146" s="90">
        <f>IF(B146="","",IFERROR(VLOOKUP(B146,EQUIPEMENTS!A:B,2,0),""))</f>
        <v/>
      </c>
      <c r="H146" s="91" t="n"/>
      <c r="J146" s="91" t="n"/>
      <c r="M146" s="91" t="n"/>
    </row>
    <row r="147" ht="15" customHeight="1" s="59">
      <c r="C147" s="90">
        <f>IF(B147="","",IFERROR(VLOOKUP(B147,EQUIPEMENTS!A:B,2,0),""))</f>
        <v/>
      </c>
      <c r="H147" s="91" t="n"/>
      <c r="J147" s="91" t="n"/>
      <c r="M147" s="91" t="n"/>
    </row>
    <row r="148" ht="15" customHeight="1" s="59">
      <c r="C148" s="90">
        <f>IF(B148="","",IFERROR(VLOOKUP(B148,EQUIPEMENTS!A:B,2,0),""))</f>
        <v/>
      </c>
      <c r="H148" s="91" t="n"/>
      <c r="J148" s="91" t="n"/>
      <c r="M148" s="91" t="n"/>
    </row>
    <row r="149" ht="15" customHeight="1" s="59">
      <c r="C149" s="90">
        <f>IF(B149="","",IFERROR(VLOOKUP(B149,EQUIPEMENTS!A:B,2,0),""))</f>
        <v/>
      </c>
      <c r="H149" s="91" t="n"/>
      <c r="J149" s="91" t="n"/>
      <c r="M149" s="91" t="n"/>
    </row>
    <row r="150" ht="15" customHeight="1" s="59">
      <c r="C150" s="90">
        <f>IF(B150="","",IFERROR(VLOOKUP(B150,EQUIPEMENTS!A:B,2,0),""))</f>
        <v/>
      </c>
      <c r="H150" s="91" t="n"/>
      <c r="J150" s="91" t="n"/>
      <c r="M150" s="91" t="n"/>
    </row>
    <row r="151" ht="15" customHeight="1" s="59">
      <c r="C151" s="90">
        <f>IF(B151="","",IFERROR(VLOOKUP(B151,EQUIPEMENTS!A:B,2,0),""))</f>
        <v/>
      </c>
      <c r="H151" s="91" t="n"/>
      <c r="J151" s="91" t="n"/>
      <c r="M151" s="91" t="n"/>
    </row>
    <row r="152" ht="15" customHeight="1" s="59">
      <c r="C152" s="90">
        <f>IF(B152="","",IFERROR(VLOOKUP(B152,EQUIPEMENTS!A:B,2,0),""))</f>
        <v/>
      </c>
      <c r="H152" s="91" t="n"/>
      <c r="J152" s="91" t="n"/>
      <c r="M152" s="91" t="n"/>
    </row>
    <row r="153" ht="15" customHeight="1" s="59">
      <c r="C153" s="90">
        <f>IF(B153="","",IFERROR(VLOOKUP(B153,EQUIPEMENTS!A:B,2,0),""))</f>
        <v/>
      </c>
      <c r="H153" s="91" t="n"/>
      <c r="J153" s="91" t="n"/>
      <c r="M153" s="91" t="n"/>
    </row>
    <row r="154" ht="15" customHeight="1" s="59">
      <c r="C154" s="90">
        <f>IF(B154="","",IFERROR(VLOOKUP(B154,EQUIPEMENTS!A:B,2,0),""))</f>
        <v/>
      </c>
      <c r="H154" s="91" t="n"/>
      <c r="J154" s="91" t="n"/>
      <c r="M154" s="91" t="n"/>
    </row>
    <row r="155" ht="15" customHeight="1" s="59">
      <c r="C155" s="90">
        <f>IF(B155="","",IFERROR(VLOOKUP(B155,EQUIPEMENTS!A:B,2,0),""))</f>
        <v/>
      </c>
      <c r="H155" s="91" t="n"/>
      <c r="J155" s="91" t="n"/>
      <c r="M155" s="91" t="n"/>
    </row>
    <row r="156" ht="15" customHeight="1" s="59">
      <c r="C156" s="90">
        <f>IF(B156="","",IFERROR(VLOOKUP(B156,EQUIPEMENTS!A:B,2,0),""))</f>
        <v/>
      </c>
      <c r="H156" s="91" t="n"/>
      <c r="J156" s="91" t="n"/>
      <c r="M156" s="91" t="n"/>
    </row>
    <row r="157" ht="15" customHeight="1" s="59">
      <c r="C157" s="90">
        <f>IF(B157="","",IFERROR(VLOOKUP(B157,EQUIPEMENTS!A:B,2,0),""))</f>
        <v/>
      </c>
      <c r="H157" s="91" t="n"/>
      <c r="J157" s="91" t="n"/>
      <c r="M157" s="91" t="n"/>
    </row>
    <row r="158" ht="15" customHeight="1" s="59">
      <c r="C158" s="90">
        <f>IF(B158="","",IFERROR(VLOOKUP(B158,EQUIPEMENTS!A:B,2,0),""))</f>
        <v/>
      </c>
      <c r="H158" s="91" t="n"/>
      <c r="J158" s="91" t="n"/>
      <c r="M158" s="91" t="n"/>
    </row>
    <row r="159" ht="15" customHeight="1" s="59">
      <c r="C159" s="90">
        <f>IF(B159="","",IFERROR(VLOOKUP(B159,EQUIPEMENTS!A:B,2,0),""))</f>
        <v/>
      </c>
      <c r="H159" s="91" t="n"/>
      <c r="J159" s="91" t="n"/>
      <c r="M159" s="91" t="n"/>
    </row>
    <row r="160" ht="15" customHeight="1" s="59">
      <c r="C160" s="90">
        <f>IF(B160="","",IFERROR(VLOOKUP(B160,EQUIPEMENTS!A:B,2,0),""))</f>
        <v/>
      </c>
      <c r="H160" s="91" t="n"/>
      <c r="J160" s="91" t="n"/>
      <c r="M160" s="91" t="n"/>
    </row>
    <row r="161" ht="15" customHeight="1" s="59">
      <c r="C161" s="90">
        <f>IF(B161="","",IFERROR(VLOOKUP(B161,EQUIPEMENTS!A:B,2,0),""))</f>
        <v/>
      </c>
      <c r="H161" s="91" t="n"/>
      <c r="J161" s="91" t="n"/>
      <c r="M161" s="91" t="n"/>
    </row>
    <row r="162" ht="15" customHeight="1" s="59">
      <c r="C162" s="90">
        <f>IF(B162="","",IFERROR(VLOOKUP(B162,EQUIPEMENTS!A:B,2,0),""))</f>
        <v/>
      </c>
      <c r="H162" s="91" t="n"/>
      <c r="J162" s="91" t="n"/>
      <c r="M162" s="91" t="n"/>
    </row>
    <row r="163" ht="15" customHeight="1" s="59">
      <c r="C163" s="90">
        <f>IF(B163="","",IFERROR(VLOOKUP(B163,EQUIPEMENTS!A:B,2,0),""))</f>
        <v/>
      </c>
      <c r="H163" s="91" t="n"/>
      <c r="J163" s="91" t="n"/>
      <c r="M163" s="91" t="n"/>
    </row>
    <row r="164" ht="15" customHeight="1" s="59">
      <c r="C164" s="90">
        <f>IF(B164="","",IFERROR(VLOOKUP(B164,EQUIPEMENTS!A:B,2,0),""))</f>
        <v/>
      </c>
      <c r="H164" s="91" t="n"/>
      <c r="J164" s="91" t="n"/>
      <c r="M164" s="91" t="n"/>
    </row>
    <row r="165" ht="15" customHeight="1" s="59">
      <c r="C165" s="90">
        <f>IF(B165="","",IFERROR(VLOOKUP(B165,EQUIPEMENTS!A:B,2,0),""))</f>
        <v/>
      </c>
      <c r="H165" s="91" t="n"/>
      <c r="J165" s="91" t="n"/>
      <c r="M165" s="91" t="n"/>
    </row>
    <row r="166" ht="15" customHeight="1" s="59">
      <c r="C166" s="90">
        <f>IF(B166="","",IFERROR(VLOOKUP(B166,EQUIPEMENTS!A:B,2,0),""))</f>
        <v/>
      </c>
      <c r="H166" s="91" t="n"/>
      <c r="J166" s="91" t="n"/>
      <c r="M166" s="91" t="n"/>
    </row>
    <row r="167" ht="15" customHeight="1" s="59">
      <c r="C167" s="90">
        <f>IF(B167="","",IFERROR(VLOOKUP(B167,EQUIPEMENTS!A:B,2,0),""))</f>
        <v/>
      </c>
      <c r="H167" s="91" t="n"/>
      <c r="J167" s="91" t="n"/>
      <c r="M167" s="91" t="n"/>
    </row>
    <row r="168" ht="15" customHeight="1" s="59">
      <c r="C168" s="90">
        <f>IF(B168="","",IFERROR(VLOOKUP(B168,EQUIPEMENTS!A:B,2,0),""))</f>
        <v/>
      </c>
      <c r="H168" s="91" t="n"/>
      <c r="J168" s="91" t="n"/>
      <c r="M168" s="91" t="n"/>
    </row>
    <row r="169" ht="15" customHeight="1" s="59">
      <c r="C169" s="90">
        <f>IF(B169="","",IFERROR(VLOOKUP(B169,EQUIPEMENTS!A:B,2,0),""))</f>
        <v/>
      </c>
      <c r="H169" s="91" t="n"/>
      <c r="J169" s="91" t="n"/>
      <c r="M169" s="91" t="n"/>
    </row>
    <row r="170" ht="15" customHeight="1" s="59">
      <c r="C170" s="90">
        <f>IF(B170="","",IFERROR(VLOOKUP(B170,EQUIPEMENTS!A:B,2,0),""))</f>
        <v/>
      </c>
      <c r="H170" s="91" t="n"/>
      <c r="J170" s="91" t="n"/>
      <c r="M170" s="91" t="n"/>
    </row>
    <row r="171" ht="15" customHeight="1" s="59">
      <c r="C171" s="90">
        <f>IF(B171="","",IFERROR(VLOOKUP(B171,EQUIPEMENTS!A:B,2,0),""))</f>
        <v/>
      </c>
      <c r="H171" s="91" t="n"/>
      <c r="J171" s="91" t="n"/>
      <c r="M171" s="91" t="n"/>
    </row>
    <row r="172" ht="15" customHeight="1" s="59">
      <c r="C172" s="90">
        <f>IF(B172="","",IFERROR(VLOOKUP(B172,EQUIPEMENTS!A:B,2,0),""))</f>
        <v/>
      </c>
      <c r="H172" s="91" t="n"/>
      <c r="J172" s="91" t="n"/>
      <c r="M172" s="91" t="n"/>
    </row>
    <row r="173" ht="15" customHeight="1" s="59">
      <c r="C173" s="90">
        <f>IF(B173="","",IFERROR(VLOOKUP(B173,EQUIPEMENTS!A:B,2,0),""))</f>
        <v/>
      </c>
      <c r="H173" s="91" t="n"/>
      <c r="J173" s="91" t="n"/>
      <c r="M173" s="91" t="n"/>
    </row>
    <row r="174" ht="15" customHeight="1" s="59">
      <c r="C174" s="90">
        <f>IF(B174="","",IFERROR(VLOOKUP(B174,EQUIPEMENTS!A:B,2,0),""))</f>
        <v/>
      </c>
      <c r="H174" s="91" t="n"/>
      <c r="J174" s="91" t="n"/>
      <c r="M174" s="91" t="n"/>
    </row>
    <row r="175" ht="15" customHeight="1" s="59">
      <c r="C175" s="90">
        <f>IF(B175="","",IFERROR(VLOOKUP(B175,EQUIPEMENTS!A:B,2,0),""))</f>
        <v/>
      </c>
      <c r="H175" s="91" t="n"/>
      <c r="J175" s="91" t="n"/>
      <c r="M175" s="91" t="n"/>
    </row>
    <row r="176" ht="15" customHeight="1" s="59">
      <c r="C176" s="90">
        <f>IF(B176="","",IFERROR(VLOOKUP(B176,EQUIPEMENTS!A:B,2,0),""))</f>
        <v/>
      </c>
      <c r="H176" s="91" t="n"/>
      <c r="J176" s="91" t="n"/>
      <c r="M176" s="91" t="n"/>
    </row>
    <row r="177" ht="15" customHeight="1" s="59">
      <c r="C177" s="90">
        <f>IF(B177="","",IFERROR(VLOOKUP(B177,EQUIPEMENTS!A:B,2,0),""))</f>
        <v/>
      </c>
      <c r="H177" s="91" t="n"/>
      <c r="J177" s="91" t="n"/>
      <c r="M177" s="91" t="n"/>
    </row>
    <row r="178" ht="15" customHeight="1" s="59">
      <c r="C178" s="90">
        <f>IF(B178="","",IFERROR(VLOOKUP(B178,EQUIPEMENTS!A:B,2,0),""))</f>
        <v/>
      </c>
      <c r="H178" s="91" t="n"/>
      <c r="J178" s="91" t="n"/>
      <c r="M178" s="91" t="n"/>
    </row>
    <row r="179" ht="15" customHeight="1" s="59">
      <c r="C179" s="90">
        <f>IF(B179="","",IFERROR(VLOOKUP(B179,EQUIPEMENTS!A:B,2,0),""))</f>
        <v/>
      </c>
      <c r="H179" s="91" t="n"/>
      <c r="J179" s="91" t="n"/>
      <c r="M179" s="91" t="n"/>
    </row>
    <row r="180" ht="15" customHeight="1" s="59">
      <c r="C180" s="90">
        <f>IF(B180="","",IFERROR(VLOOKUP(B180,EQUIPEMENTS!A:B,2,0),""))</f>
        <v/>
      </c>
      <c r="H180" s="91" t="n"/>
      <c r="J180" s="91" t="n"/>
      <c r="M180" s="91" t="n"/>
    </row>
    <row r="181" ht="15" customHeight="1" s="59">
      <c r="C181" s="90">
        <f>IF(B181="","",IFERROR(VLOOKUP(B181,EQUIPEMENTS!A:B,2,0),""))</f>
        <v/>
      </c>
      <c r="H181" s="91" t="n"/>
      <c r="J181" s="91" t="n"/>
      <c r="M181" s="91" t="n"/>
    </row>
    <row r="182" ht="15" customHeight="1" s="59">
      <c r="C182" s="90">
        <f>IF(B182="","",IFERROR(VLOOKUP(B182,EQUIPEMENTS!A:B,2,0),""))</f>
        <v/>
      </c>
      <c r="H182" s="91" t="n"/>
      <c r="J182" s="91" t="n"/>
      <c r="M182" s="91" t="n"/>
    </row>
    <row r="183" ht="15" customHeight="1" s="59">
      <c r="C183" s="90">
        <f>IF(B183="","",IFERROR(VLOOKUP(B183,EQUIPEMENTS!A:B,2,0),""))</f>
        <v/>
      </c>
      <c r="H183" s="91" t="n"/>
      <c r="J183" s="91" t="n"/>
      <c r="M183" s="91" t="n"/>
    </row>
    <row r="184" ht="15" customHeight="1" s="59">
      <c r="C184" s="90">
        <f>IF(B184="","",IFERROR(VLOOKUP(B184,EQUIPEMENTS!A:B,2,0),""))</f>
        <v/>
      </c>
      <c r="H184" s="91" t="n"/>
      <c r="J184" s="91" t="n"/>
      <c r="M184" s="91" t="n"/>
    </row>
    <row r="185" ht="15" customHeight="1" s="59">
      <c r="C185" s="90">
        <f>IF(B185="","",IFERROR(VLOOKUP(B185,EQUIPEMENTS!A:B,2,0),""))</f>
        <v/>
      </c>
      <c r="H185" s="91" t="n"/>
      <c r="J185" s="91" t="n"/>
      <c r="M185" s="91" t="n"/>
    </row>
    <row r="186" ht="15" customHeight="1" s="59">
      <c r="C186" s="90">
        <f>IF(B186="","",IFERROR(VLOOKUP(B186,EQUIPEMENTS!A:B,2,0),""))</f>
        <v/>
      </c>
      <c r="H186" s="91" t="n"/>
      <c r="J186" s="91" t="n"/>
      <c r="M186" s="91" t="n"/>
    </row>
    <row r="187" ht="15" customHeight="1" s="59">
      <c r="C187" s="90">
        <f>IF(B187="","",IFERROR(VLOOKUP(B187,EQUIPEMENTS!A:B,2,0),""))</f>
        <v/>
      </c>
      <c r="H187" s="91" t="n"/>
      <c r="J187" s="91" t="n"/>
      <c r="M187" s="91" t="n"/>
    </row>
    <row r="188" ht="15" customHeight="1" s="59">
      <c r="C188" s="90">
        <f>IF(B188="","",IFERROR(VLOOKUP(B188,EQUIPEMENTS!A:B,2,0),""))</f>
        <v/>
      </c>
      <c r="H188" s="91" t="n"/>
      <c r="J188" s="91" t="n"/>
      <c r="M188" s="91" t="n"/>
    </row>
    <row r="189" ht="15" customHeight="1" s="59">
      <c r="C189" s="90">
        <f>IF(B189="","",IFERROR(VLOOKUP(B189,EQUIPEMENTS!A:B,2,0),""))</f>
        <v/>
      </c>
      <c r="H189" s="91" t="n"/>
      <c r="J189" s="91" t="n"/>
      <c r="M189" s="91" t="n"/>
    </row>
    <row r="190" ht="15" customHeight="1" s="59">
      <c r="C190" s="90">
        <f>IF(B190="","",IFERROR(VLOOKUP(B190,EQUIPEMENTS!A:B,2,0),""))</f>
        <v/>
      </c>
      <c r="H190" s="91" t="n"/>
      <c r="J190" s="91" t="n"/>
      <c r="M190" s="91" t="n"/>
    </row>
    <row r="191" ht="15" customHeight="1" s="59">
      <c r="C191" s="90">
        <f>IF(B191="","",IFERROR(VLOOKUP(B191,EQUIPEMENTS!A:B,2,0),""))</f>
        <v/>
      </c>
      <c r="H191" s="91" t="n"/>
      <c r="J191" s="91" t="n"/>
      <c r="M191" s="91" t="n"/>
    </row>
    <row r="192" ht="15" customHeight="1" s="59">
      <c r="C192" s="90">
        <f>IF(B192="","",IFERROR(VLOOKUP(B192,EQUIPEMENTS!A:B,2,0),""))</f>
        <v/>
      </c>
      <c r="H192" s="91" t="n"/>
      <c r="J192" s="91" t="n"/>
      <c r="M192" s="91" t="n"/>
    </row>
    <row r="193" ht="15" customHeight="1" s="59">
      <c r="C193" s="90">
        <f>IF(B193="","",IFERROR(VLOOKUP(B193,EQUIPEMENTS!A:B,2,0),""))</f>
        <v/>
      </c>
      <c r="H193" s="91" t="n"/>
      <c r="J193" s="91" t="n"/>
      <c r="M193" s="91" t="n"/>
    </row>
    <row r="194" ht="15" customHeight="1" s="59">
      <c r="C194" s="90">
        <f>IF(B194="","",IFERROR(VLOOKUP(B194,EQUIPEMENTS!A:B,2,0),""))</f>
        <v/>
      </c>
      <c r="H194" s="91" t="n"/>
      <c r="J194" s="91" t="n"/>
      <c r="M194" s="91" t="n"/>
    </row>
    <row r="195" ht="15" customHeight="1" s="59">
      <c r="C195" s="90">
        <f>IF(B195="","",IFERROR(VLOOKUP(B195,EQUIPEMENTS!A:B,2,0),""))</f>
        <v/>
      </c>
      <c r="H195" s="91" t="n"/>
      <c r="J195" s="91" t="n"/>
      <c r="M195" s="91" t="n"/>
    </row>
    <row r="196" ht="15" customHeight="1" s="59">
      <c r="C196" s="90">
        <f>IF(B196="","",IFERROR(VLOOKUP(B196,EQUIPEMENTS!A:B,2,0),""))</f>
        <v/>
      </c>
      <c r="H196" s="91" t="n"/>
      <c r="J196" s="91" t="n"/>
      <c r="M196" s="91" t="n"/>
    </row>
    <row r="197" ht="15" customHeight="1" s="59">
      <c r="C197" s="90">
        <f>IF(B197="","",IFERROR(VLOOKUP(B197,EQUIPEMENTS!A:B,2,0),""))</f>
        <v/>
      </c>
      <c r="H197" s="91" t="n"/>
      <c r="J197" s="91" t="n"/>
      <c r="M197" s="91" t="n"/>
    </row>
    <row r="198" ht="15" customHeight="1" s="59">
      <c r="C198" s="90">
        <f>IF(B198="","",IFERROR(VLOOKUP(B198,EQUIPEMENTS!A:B,2,0),""))</f>
        <v/>
      </c>
      <c r="H198" s="91" t="n"/>
      <c r="J198" s="91" t="n"/>
      <c r="M198" s="91" t="n"/>
    </row>
    <row r="199" ht="15" customHeight="1" s="59">
      <c r="C199" s="90">
        <f>IF(B199="","",IFERROR(VLOOKUP(B199,EQUIPEMENTS!A:B,2,0),""))</f>
        <v/>
      </c>
      <c r="H199" s="91" t="n"/>
      <c r="J199" s="91" t="n"/>
      <c r="M199" s="91" t="n"/>
    </row>
    <row r="200" ht="15" customHeight="1" s="59">
      <c r="C200" s="90">
        <f>IF(B200="","",IFERROR(VLOOKUP(B200,EQUIPEMENTS!A:B,2,0),""))</f>
        <v/>
      </c>
      <c r="H200" s="91" t="n"/>
      <c r="J200" s="91" t="n"/>
      <c r="M200" s="91" t="n"/>
    </row>
    <row r="201" ht="15" customHeight="1" s="59">
      <c r="C201" s="90">
        <f>IF(B201="","",IFERROR(VLOOKUP(B201,EQUIPEMENTS!A:B,2,0),""))</f>
        <v/>
      </c>
      <c r="H201" s="91" t="n"/>
      <c r="J201" s="91" t="n"/>
      <c r="M201" s="91" t="n"/>
    </row>
    <row r="202" ht="15" customHeight="1" s="59">
      <c r="C202" s="90">
        <f>IF(B202="","",IFERROR(VLOOKUP(B202,EQUIPEMENTS!A:B,2,0),""))</f>
        <v/>
      </c>
      <c r="H202" s="91" t="n"/>
      <c r="J202" s="91" t="n"/>
      <c r="M202" s="91" t="n"/>
    </row>
    <row r="203" ht="15" customHeight="1" s="59">
      <c r="C203" s="90">
        <f>IF(B203="","",IFERROR(VLOOKUP(B203,EQUIPEMENTS!A:B,2,0),""))</f>
        <v/>
      </c>
      <c r="H203" s="91" t="n"/>
      <c r="J203" s="91" t="n"/>
      <c r="M203" s="91" t="n"/>
    </row>
    <row r="204" ht="15" customHeight="1" s="59">
      <c r="C204" s="90">
        <f>IF(B204="","",IFERROR(VLOOKUP(B204,EQUIPEMENTS!A:B,2,0),""))</f>
        <v/>
      </c>
      <c r="H204" s="91" t="n"/>
      <c r="J204" s="91" t="n"/>
      <c r="M204" s="91" t="n"/>
    </row>
    <row r="205" ht="15" customHeight="1" s="59">
      <c r="C205" s="90">
        <f>IF(B205="","",IFERROR(VLOOKUP(B205,EQUIPEMENTS!A:B,2,0),""))</f>
        <v/>
      </c>
      <c r="H205" s="91" t="n"/>
      <c r="J205" s="91" t="n"/>
      <c r="M205" s="91" t="n"/>
    </row>
    <row r="206" ht="15" customHeight="1" s="59">
      <c r="C206" s="90">
        <f>IF(B206="","",IFERROR(VLOOKUP(B206,EQUIPEMENTS!A:B,2,0),""))</f>
        <v/>
      </c>
      <c r="H206" s="91" t="n"/>
      <c r="J206" s="91" t="n"/>
      <c r="M206" s="91" t="n"/>
    </row>
    <row r="207" ht="15" customHeight="1" s="59">
      <c r="C207" s="90">
        <f>IF(B207="","",IFERROR(VLOOKUP(B207,EQUIPEMENTS!A:B,2,0),""))</f>
        <v/>
      </c>
      <c r="H207" s="91" t="n"/>
      <c r="J207" s="91" t="n"/>
      <c r="M207" s="91" t="n"/>
    </row>
    <row r="208" ht="15" customHeight="1" s="59">
      <c r="C208" s="90">
        <f>IF(B208="","",IFERROR(VLOOKUP(B208,EQUIPEMENTS!A:B,2,0),""))</f>
        <v/>
      </c>
      <c r="H208" s="91" t="n"/>
      <c r="J208" s="91" t="n"/>
      <c r="M208" s="91" t="n"/>
    </row>
    <row r="209" ht="15" customHeight="1" s="59">
      <c r="C209" s="90">
        <f>IF(B209="","",IFERROR(VLOOKUP(B209,EQUIPEMENTS!A:B,2,0),""))</f>
        <v/>
      </c>
      <c r="H209" s="91" t="n"/>
      <c r="J209" s="91" t="n"/>
      <c r="M209" s="91" t="n"/>
    </row>
    <row r="210" ht="15" customHeight="1" s="59">
      <c r="C210" s="90">
        <f>IF(B210="","",IFERROR(VLOOKUP(B210,EQUIPEMENTS!A:B,2,0),""))</f>
        <v/>
      </c>
      <c r="H210" s="91" t="n"/>
      <c r="J210" s="91" t="n"/>
      <c r="M210" s="91" t="n"/>
    </row>
    <row r="211" ht="15" customHeight="1" s="59">
      <c r="C211" s="90">
        <f>IF(B211="","",IFERROR(VLOOKUP(B211,EQUIPEMENTS!A:B,2,0),""))</f>
        <v/>
      </c>
      <c r="H211" s="91" t="n"/>
      <c r="J211" s="91" t="n"/>
      <c r="M211" s="91" t="n"/>
    </row>
    <row r="212" ht="15" customHeight="1" s="59">
      <c r="C212" s="90">
        <f>IF(B212="","",IFERROR(VLOOKUP(B212,EQUIPEMENTS!A:B,2,0),""))</f>
        <v/>
      </c>
      <c r="H212" s="91" t="n"/>
      <c r="J212" s="91" t="n"/>
      <c r="M212" s="91" t="n"/>
    </row>
    <row r="213" ht="15" customHeight="1" s="59">
      <c r="C213" s="90">
        <f>IF(B213="","",IFERROR(VLOOKUP(B213,EQUIPEMENTS!A:B,2,0),""))</f>
        <v/>
      </c>
      <c r="H213" s="91" t="n"/>
      <c r="J213" s="91" t="n"/>
      <c r="M213" s="91" t="n"/>
    </row>
    <row r="214" ht="15" customHeight="1" s="59">
      <c r="C214" s="90">
        <f>IF(B214="","",IFERROR(VLOOKUP(B214,EQUIPEMENTS!A:B,2,0),""))</f>
        <v/>
      </c>
      <c r="H214" s="91" t="n"/>
      <c r="J214" s="91" t="n"/>
      <c r="M214" s="91" t="n"/>
    </row>
    <row r="215" ht="15" customHeight="1" s="59">
      <c r="C215" s="90">
        <f>IF(B215="","",IFERROR(VLOOKUP(B215,EQUIPEMENTS!A:B,2,0),""))</f>
        <v/>
      </c>
      <c r="H215" s="91" t="n"/>
      <c r="J215" s="91" t="n"/>
      <c r="M215" s="91" t="n"/>
    </row>
    <row r="216" ht="15" customHeight="1" s="59">
      <c r="C216" s="90">
        <f>IF(B216="","",IFERROR(VLOOKUP(B216,EQUIPEMENTS!A:B,2,0),""))</f>
        <v/>
      </c>
      <c r="H216" s="91" t="n"/>
      <c r="J216" s="91" t="n"/>
      <c r="M216" s="91" t="n"/>
    </row>
    <row r="217" ht="15" customHeight="1" s="59">
      <c r="C217" s="90">
        <f>IF(B217="","",IFERROR(VLOOKUP(B217,EQUIPEMENTS!A:B,2,0),""))</f>
        <v/>
      </c>
      <c r="H217" s="91" t="n"/>
      <c r="J217" s="91" t="n"/>
      <c r="M217" s="91" t="n"/>
    </row>
    <row r="218" ht="15" customHeight="1" s="59">
      <c r="C218" s="90">
        <f>IF(B218="","",IFERROR(VLOOKUP(B218,EQUIPEMENTS!A:B,2,0),""))</f>
        <v/>
      </c>
      <c r="H218" s="91" t="n"/>
      <c r="J218" s="91" t="n"/>
      <c r="M218" s="91" t="n"/>
    </row>
    <row r="219" ht="15" customHeight="1" s="59">
      <c r="C219" s="90">
        <f>IF(B219="","",IFERROR(VLOOKUP(B219,EQUIPEMENTS!A:B,2,0),""))</f>
        <v/>
      </c>
      <c r="H219" s="91" t="n"/>
      <c r="J219" s="91" t="n"/>
      <c r="M219" s="91" t="n"/>
    </row>
    <row r="220" ht="15" customHeight="1" s="59">
      <c r="C220" s="90">
        <f>IF(B220="","",IFERROR(VLOOKUP(B220,EQUIPEMENTS!A:B,2,0),""))</f>
        <v/>
      </c>
      <c r="H220" s="91" t="n"/>
      <c r="J220" s="91" t="n"/>
      <c r="M220" s="91" t="n"/>
    </row>
    <row r="221" ht="15" customHeight="1" s="59">
      <c r="C221" s="90">
        <f>IF(B221="","",IFERROR(VLOOKUP(B221,EQUIPEMENTS!A:B,2,0),""))</f>
        <v/>
      </c>
      <c r="H221" s="91" t="n"/>
      <c r="J221" s="91" t="n"/>
      <c r="M221" s="91" t="n"/>
    </row>
    <row r="222" ht="15" customHeight="1" s="59">
      <c r="C222" s="90">
        <f>IF(B222="","",IFERROR(VLOOKUP(B222,EQUIPEMENTS!A:B,2,0),""))</f>
        <v/>
      </c>
      <c r="H222" s="91" t="n"/>
      <c r="J222" s="91" t="n"/>
      <c r="M222" s="91" t="n"/>
    </row>
    <row r="223" ht="15" customHeight="1" s="59">
      <c r="C223" s="90">
        <f>IF(B223="","",IFERROR(VLOOKUP(B223,EQUIPEMENTS!A:B,2,0),""))</f>
        <v/>
      </c>
      <c r="H223" s="91" t="n"/>
      <c r="J223" s="91" t="n"/>
      <c r="M223" s="91" t="n"/>
    </row>
    <row r="224" ht="15" customHeight="1" s="59">
      <c r="C224" s="90">
        <f>IF(B224="","",IFERROR(VLOOKUP(B224,EQUIPEMENTS!A:B,2,0),""))</f>
        <v/>
      </c>
      <c r="H224" s="91" t="n"/>
      <c r="J224" s="91" t="n"/>
      <c r="M224" s="91" t="n"/>
    </row>
    <row r="225" ht="15" customHeight="1" s="59">
      <c r="C225" s="90">
        <f>IF(B225="","",IFERROR(VLOOKUP(B225,EQUIPEMENTS!A:B,2,0),""))</f>
        <v/>
      </c>
      <c r="H225" s="91" t="n"/>
      <c r="J225" s="91" t="n"/>
      <c r="M225" s="91" t="n"/>
    </row>
    <row r="226" ht="15" customHeight="1" s="59">
      <c r="C226" s="90">
        <f>IF(B226="","",IFERROR(VLOOKUP(B226,EQUIPEMENTS!A:B,2,0),""))</f>
        <v/>
      </c>
      <c r="H226" s="91" t="n"/>
      <c r="J226" s="91" t="n"/>
      <c r="M226" s="91" t="n"/>
    </row>
    <row r="227" ht="15" customHeight="1" s="59">
      <c r="C227" s="90">
        <f>IF(B227="","",IFERROR(VLOOKUP(B227,EQUIPEMENTS!A:B,2,0),""))</f>
        <v/>
      </c>
      <c r="H227" s="91" t="n"/>
      <c r="J227" s="91" t="n"/>
      <c r="M227" s="91" t="n"/>
    </row>
    <row r="228" ht="15" customHeight="1" s="59">
      <c r="C228" s="90">
        <f>IF(B228="","",IFERROR(VLOOKUP(B228,EQUIPEMENTS!A:B,2,0),""))</f>
        <v/>
      </c>
      <c r="H228" s="91" t="n"/>
      <c r="J228" s="91" t="n"/>
      <c r="M228" s="91" t="n"/>
    </row>
    <row r="229" ht="15" customHeight="1" s="59">
      <c r="C229" s="90">
        <f>IF(B229="","",IFERROR(VLOOKUP(B229,EQUIPEMENTS!A:B,2,0),""))</f>
        <v/>
      </c>
      <c r="H229" s="91" t="n"/>
      <c r="J229" s="91" t="n"/>
      <c r="M229" s="91" t="n"/>
    </row>
    <row r="230" ht="15" customHeight="1" s="59">
      <c r="C230" s="90">
        <f>IF(B230="","",IFERROR(VLOOKUP(B230,EQUIPEMENTS!A:B,2,0),""))</f>
        <v/>
      </c>
      <c r="H230" s="91" t="n"/>
      <c r="J230" s="91" t="n"/>
      <c r="M230" s="91" t="n"/>
    </row>
    <row r="231" ht="15" customHeight="1" s="59">
      <c r="C231" s="90">
        <f>IF(B231="","",IFERROR(VLOOKUP(B231,EQUIPEMENTS!A:B,2,0),""))</f>
        <v/>
      </c>
      <c r="H231" s="91" t="n"/>
      <c r="J231" s="91" t="n"/>
      <c r="M231" s="91" t="n"/>
    </row>
    <row r="232" ht="15" customHeight="1" s="59">
      <c r="C232" s="90">
        <f>IF(B232="","",IFERROR(VLOOKUP(B232,EQUIPEMENTS!A:B,2,0),""))</f>
        <v/>
      </c>
      <c r="H232" s="91" t="n"/>
      <c r="J232" s="91" t="n"/>
      <c r="M232" s="91" t="n"/>
    </row>
    <row r="233" ht="15" customHeight="1" s="59">
      <c r="C233" s="90">
        <f>IF(B233="","",IFERROR(VLOOKUP(B233,EQUIPEMENTS!A:B,2,0),""))</f>
        <v/>
      </c>
      <c r="H233" s="91" t="n"/>
      <c r="J233" s="91" t="n"/>
      <c r="M233" s="91" t="n"/>
    </row>
    <row r="234" ht="15" customHeight="1" s="59">
      <c r="C234" s="90">
        <f>IF(B234="","",IFERROR(VLOOKUP(B234,EQUIPEMENTS!A:B,2,0),""))</f>
        <v/>
      </c>
      <c r="H234" s="91" t="n"/>
      <c r="J234" s="91" t="n"/>
      <c r="M234" s="91" t="n"/>
    </row>
    <row r="235" ht="15" customHeight="1" s="59">
      <c r="C235" s="90">
        <f>IF(B235="","",IFERROR(VLOOKUP(B235,EQUIPEMENTS!A:B,2,0),""))</f>
        <v/>
      </c>
      <c r="H235" s="91" t="n"/>
      <c r="J235" s="91" t="n"/>
      <c r="M235" s="91" t="n"/>
    </row>
    <row r="236" ht="15" customHeight="1" s="59">
      <c r="C236" s="90">
        <f>IF(B236="","",IFERROR(VLOOKUP(B236,EQUIPEMENTS!A:B,2,0),""))</f>
        <v/>
      </c>
      <c r="H236" s="91" t="n"/>
      <c r="J236" s="91" t="n"/>
      <c r="M236" s="91" t="n"/>
    </row>
    <row r="237" ht="15" customHeight="1" s="59">
      <c r="C237" s="90">
        <f>IF(B237="","",IFERROR(VLOOKUP(B237,EQUIPEMENTS!A:B,2,0),""))</f>
        <v/>
      </c>
      <c r="H237" s="91" t="n"/>
      <c r="J237" s="91" t="n"/>
      <c r="M237" s="91" t="n"/>
    </row>
    <row r="238" ht="15" customHeight="1" s="59">
      <c r="C238" s="90">
        <f>IF(B238="","",IFERROR(VLOOKUP(B238,EQUIPEMENTS!A:B,2,0),""))</f>
        <v/>
      </c>
      <c r="H238" s="91" t="n"/>
      <c r="J238" s="91" t="n"/>
      <c r="M238" s="91" t="n"/>
    </row>
    <row r="239" ht="15" customHeight="1" s="59">
      <c r="C239" s="90">
        <f>IF(B239="","",IFERROR(VLOOKUP(B239,EQUIPEMENTS!A:B,2,0),""))</f>
        <v/>
      </c>
      <c r="H239" s="91" t="n"/>
      <c r="J239" s="91" t="n"/>
      <c r="M239" s="91" t="n"/>
    </row>
    <row r="240" ht="15" customHeight="1" s="59">
      <c r="C240" s="90">
        <f>IF(B240="","",IFERROR(VLOOKUP(B240,EQUIPEMENTS!A:B,2,0),""))</f>
        <v/>
      </c>
      <c r="H240" s="91" t="n"/>
      <c r="J240" s="91" t="n"/>
      <c r="M240" s="91" t="n"/>
    </row>
    <row r="241" ht="15" customHeight="1" s="59">
      <c r="C241" s="90">
        <f>IF(B241="","",IFERROR(VLOOKUP(B241,EQUIPEMENTS!A:B,2,0),""))</f>
        <v/>
      </c>
      <c r="H241" s="91" t="n"/>
      <c r="J241" s="91" t="n"/>
      <c r="M241" s="91" t="n"/>
    </row>
    <row r="242" ht="15" customHeight="1" s="59">
      <c r="C242" s="90">
        <f>IF(B242="","",IFERROR(VLOOKUP(B242,EQUIPEMENTS!A:B,2,0),""))</f>
        <v/>
      </c>
      <c r="H242" s="91" t="n"/>
      <c r="J242" s="91" t="n"/>
      <c r="M242" s="91" t="n"/>
    </row>
    <row r="243" ht="15" customHeight="1" s="59">
      <c r="C243" s="90">
        <f>IF(B243="","",IFERROR(VLOOKUP(B243,EQUIPEMENTS!A:B,2,0),""))</f>
        <v/>
      </c>
      <c r="H243" s="91" t="n"/>
      <c r="J243" s="91" t="n"/>
      <c r="M243" s="91" t="n"/>
    </row>
    <row r="244" ht="15" customHeight="1" s="59">
      <c r="C244" s="90">
        <f>IF(B244="","",IFERROR(VLOOKUP(B244,EQUIPEMENTS!A:B,2,0),""))</f>
        <v/>
      </c>
      <c r="H244" s="91" t="n"/>
      <c r="J244" s="91" t="n"/>
      <c r="M244" s="91" t="n"/>
    </row>
    <row r="245" ht="15" customHeight="1" s="59">
      <c r="C245" s="90">
        <f>IF(B245="","",IFERROR(VLOOKUP(B245,EQUIPEMENTS!A:B,2,0),""))</f>
        <v/>
      </c>
      <c r="H245" s="91" t="n"/>
      <c r="J245" s="91" t="n"/>
      <c r="M245" s="91" t="n"/>
    </row>
    <row r="246" ht="15" customHeight="1" s="59">
      <c r="C246" s="90">
        <f>IF(B246="","",IFERROR(VLOOKUP(B246,EQUIPEMENTS!A:B,2,0),""))</f>
        <v/>
      </c>
      <c r="H246" s="91" t="n"/>
      <c r="J246" s="91" t="n"/>
      <c r="M246" s="91" t="n"/>
    </row>
    <row r="247" ht="15" customHeight="1" s="59">
      <c r="C247" s="90">
        <f>IF(B247="","",IFERROR(VLOOKUP(B247,EQUIPEMENTS!A:B,2,0),""))</f>
        <v/>
      </c>
      <c r="H247" s="91" t="n"/>
      <c r="J247" s="91" t="n"/>
      <c r="M247" s="91" t="n"/>
    </row>
    <row r="248" ht="15" customHeight="1" s="59">
      <c r="C248" s="90">
        <f>IF(B248="","",IFERROR(VLOOKUP(B248,EQUIPEMENTS!A:B,2,0),""))</f>
        <v/>
      </c>
      <c r="H248" s="91" t="n"/>
      <c r="J248" s="91" t="n"/>
      <c r="M248" s="91" t="n"/>
    </row>
    <row r="249" ht="15" customHeight="1" s="59">
      <c r="C249" s="90">
        <f>IF(B249="","",IFERROR(VLOOKUP(B249,EQUIPEMENTS!A:B,2,0),""))</f>
        <v/>
      </c>
      <c r="H249" s="91" t="n"/>
      <c r="J249" s="91" t="n"/>
      <c r="M249" s="91" t="n"/>
    </row>
    <row r="250" ht="15" customHeight="1" s="59">
      <c r="C250" s="90">
        <f>IF(B250="","",IFERROR(VLOOKUP(B250,EQUIPEMENTS!A:B,2,0),""))</f>
        <v/>
      </c>
      <c r="H250" s="91" t="n"/>
      <c r="J250" s="91" t="n"/>
      <c r="M250" s="91" t="n"/>
    </row>
    <row r="251" ht="15" customHeight="1" s="59">
      <c r="C251" s="90">
        <f>IF(B251="","",IFERROR(VLOOKUP(B251,EQUIPEMENTS!A:B,2,0),""))</f>
        <v/>
      </c>
      <c r="H251" s="91" t="n"/>
      <c r="J251" s="91" t="n"/>
      <c r="M251" s="91" t="n"/>
    </row>
    <row r="252" ht="15" customHeight="1" s="59">
      <c r="C252" s="90">
        <f>IF(B252="","",IFERROR(VLOOKUP(B252,EQUIPEMENTS!A:B,2,0),""))</f>
        <v/>
      </c>
      <c r="H252" s="91" t="n"/>
      <c r="J252" s="91" t="n"/>
      <c r="M252" s="91" t="n"/>
    </row>
    <row r="253" ht="15" customHeight="1" s="59">
      <c r="C253" s="90">
        <f>IF(B253="","",IFERROR(VLOOKUP(B253,EQUIPEMENTS!A:B,2,0),""))</f>
        <v/>
      </c>
      <c r="H253" s="91" t="n"/>
      <c r="J253" s="91" t="n"/>
      <c r="M253" s="91" t="n"/>
    </row>
    <row r="254" ht="15" customHeight="1" s="59">
      <c r="C254" s="90">
        <f>IF(B254="","",IFERROR(VLOOKUP(B254,EQUIPEMENTS!A:B,2,0),""))</f>
        <v/>
      </c>
      <c r="H254" s="91" t="n"/>
      <c r="J254" s="91" t="n"/>
      <c r="M254" s="91" t="n"/>
    </row>
    <row r="255" ht="15" customHeight="1" s="59">
      <c r="C255" s="90">
        <f>IF(B255="","",IFERROR(VLOOKUP(B255,EQUIPEMENTS!A:B,2,0),""))</f>
        <v/>
      </c>
      <c r="H255" s="91" t="n"/>
      <c r="J255" s="91" t="n"/>
      <c r="M255" s="91" t="n"/>
    </row>
    <row r="256" ht="15" customHeight="1" s="59">
      <c r="C256" s="90">
        <f>IF(B256="","",IFERROR(VLOOKUP(B256,EQUIPEMENTS!A:B,2,0),""))</f>
        <v/>
      </c>
      <c r="H256" s="91" t="n"/>
      <c r="J256" s="91" t="n"/>
      <c r="M256" s="91" t="n"/>
    </row>
    <row r="257" ht="15" customHeight="1" s="59">
      <c r="C257" s="90">
        <f>IF(B257="","",IFERROR(VLOOKUP(B257,EQUIPEMENTS!A:B,2,0),""))</f>
        <v/>
      </c>
      <c r="H257" s="91" t="n"/>
      <c r="J257" s="91" t="n"/>
      <c r="M257" s="91" t="n"/>
    </row>
    <row r="258" ht="15" customHeight="1" s="59">
      <c r="C258" s="90">
        <f>IF(B258="","",IFERROR(VLOOKUP(B258,EQUIPEMENTS!A:B,2,0),""))</f>
        <v/>
      </c>
      <c r="H258" s="91" t="n"/>
      <c r="J258" s="91" t="n"/>
      <c r="M258" s="91" t="n"/>
    </row>
    <row r="259" ht="15" customHeight="1" s="59">
      <c r="C259" s="90">
        <f>IF(B259="","",IFERROR(VLOOKUP(B259,EQUIPEMENTS!A:B,2,0),""))</f>
        <v/>
      </c>
      <c r="H259" s="91" t="n"/>
      <c r="J259" s="91" t="n"/>
      <c r="M259" s="91" t="n"/>
    </row>
    <row r="260" ht="15" customHeight="1" s="59">
      <c r="C260" s="90">
        <f>IF(B260="","",IFERROR(VLOOKUP(B260,EQUIPEMENTS!A:B,2,0),""))</f>
        <v/>
      </c>
      <c r="H260" s="91" t="n"/>
      <c r="J260" s="91" t="n"/>
      <c r="M260" s="91" t="n"/>
    </row>
    <row r="261" ht="15" customHeight="1" s="59">
      <c r="C261" s="90">
        <f>IF(B261="","",IFERROR(VLOOKUP(B261,EQUIPEMENTS!A:B,2,0),""))</f>
        <v/>
      </c>
      <c r="H261" s="91" t="n"/>
      <c r="J261" s="91" t="n"/>
      <c r="M261" s="91" t="n"/>
    </row>
    <row r="262" ht="15" customHeight="1" s="59">
      <c r="C262" s="90">
        <f>IF(B262="","",IFERROR(VLOOKUP(B262,EQUIPEMENTS!A:B,2,0),""))</f>
        <v/>
      </c>
      <c r="H262" s="91" t="n"/>
      <c r="J262" s="91" t="n"/>
      <c r="M262" s="91" t="n"/>
    </row>
    <row r="263" ht="15" customHeight="1" s="59">
      <c r="C263" s="90">
        <f>IF(B263="","",IFERROR(VLOOKUP(B263,EQUIPEMENTS!A:B,2,0),""))</f>
        <v/>
      </c>
      <c r="H263" s="91" t="n"/>
      <c r="J263" s="91" t="n"/>
      <c r="M263" s="91" t="n"/>
    </row>
    <row r="264" ht="15" customHeight="1" s="59">
      <c r="C264" s="90">
        <f>IF(B264="","",IFERROR(VLOOKUP(B264,EQUIPEMENTS!A:B,2,0),""))</f>
        <v/>
      </c>
      <c r="H264" s="91" t="n"/>
      <c r="J264" s="91" t="n"/>
      <c r="M264" s="91" t="n"/>
    </row>
    <row r="265" ht="15" customHeight="1" s="59">
      <c r="C265" s="90">
        <f>IF(B265="","",IFERROR(VLOOKUP(B265,EQUIPEMENTS!A:B,2,0),""))</f>
        <v/>
      </c>
      <c r="H265" s="91" t="n"/>
      <c r="J265" s="91" t="n"/>
      <c r="M265" s="91" t="n"/>
    </row>
    <row r="266" ht="15" customHeight="1" s="59">
      <c r="C266" s="90">
        <f>IF(B266="","",IFERROR(VLOOKUP(B266,EQUIPEMENTS!A:B,2,0),""))</f>
        <v/>
      </c>
      <c r="H266" s="91" t="n"/>
      <c r="J266" s="91" t="n"/>
      <c r="M266" s="91" t="n"/>
    </row>
    <row r="267" ht="15" customHeight="1" s="59">
      <c r="C267" s="90">
        <f>IF(B267="","",IFERROR(VLOOKUP(B267,EQUIPEMENTS!A:B,2,0),""))</f>
        <v/>
      </c>
      <c r="H267" s="91" t="n"/>
      <c r="J267" s="91" t="n"/>
      <c r="M267" s="91" t="n"/>
    </row>
    <row r="268" ht="15" customHeight="1" s="59">
      <c r="C268" s="90">
        <f>IF(B268="","",IFERROR(VLOOKUP(B268,EQUIPEMENTS!A:B,2,0),""))</f>
        <v/>
      </c>
      <c r="H268" s="91" t="n"/>
      <c r="J268" s="91" t="n"/>
      <c r="M268" s="91" t="n"/>
    </row>
    <row r="269" ht="15" customHeight="1" s="59">
      <c r="C269" s="90">
        <f>IF(B269="","",IFERROR(VLOOKUP(B269,EQUIPEMENTS!A:B,2,0),""))</f>
        <v/>
      </c>
      <c r="H269" s="91" t="n"/>
      <c r="J269" s="91" t="n"/>
      <c r="M269" s="91" t="n"/>
    </row>
    <row r="270" ht="15" customHeight="1" s="59">
      <c r="C270" s="90">
        <f>IF(B270="","",IFERROR(VLOOKUP(B270,EQUIPEMENTS!A:B,2,0),""))</f>
        <v/>
      </c>
      <c r="H270" s="91" t="n"/>
      <c r="J270" s="91" t="n"/>
      <c r="M270" s="91" t="n"/>
    </row>
    <row r="271" ht="15" customHeight="1" s="59">
      <c r="C271" s="90">
        <f>IF(B271="","",IFERROR(VLOOKUP(B271,EQUIPEMENTS!A:B,2,0),""))</f>
        <v/>
      </c>
      <c r="H271" s="91" t="n"/>
      <c r="J271" s="91" t="n"/>
      <c r="M271" s="91" t="n"/>
    </row>
    <row r="272" ht="15" customHeight="1" s="59">
      <c r="C272" s="90">
        <f>IF(B272="","",IFERROR(VLOOKUP(B272,EQUIPEMENTS!A:B,2,0),""))</f>
        <v/>
      </c>
      <c r="H272" s="91" t="n"/>
      <c r="J272" s="91" t="n"/>
      <c r="M272" s="91" t="n"/>
    </row>
    <row r="273" ht="15" customHeight="1" s="59">
      <c r="C273" s="90">
        <f>IF(B273="","",IFERROR(VLOOKUP(B273,EQUIPEMENTS!A:B,2,0),""))</f>
        <v/>
      </c>
      <c r="H273" s="91" t="n"/>
      <c r="J273" s="91" t="n"/>
      <c r="M273" s="91" t="n"/>
    </row>
    <row r="274" ht="15" customHeight="1" s="59">
      <c r="C274" s="90">
        <f>IF(B274="","",IFERROR(VLOOKUP(B274,EQUIPEMENTS!A:B,2,0),""))</f>
        <v/>
      </c>
      <c r="H274" s="91" t="n"/>
      <c r="J274" s="91" t="n"/>
      <c r="M274" s="91" t="n"/>
    </row>
    <row r="275" ht="15" customHeight="1" s="59">
      <c r="C275" s="90">
        <f>IF(B275="","",IFERROR(VLOOKUP(B275,EQUIPEMENTS!A:B,2,0),""))</f>
        <v/>
      </c>
      <c r="H275" s="91" t="n"/>
      <c r="J275" s="91" t="n"/>
      <c r="M275" s="91" t="n"/>
    </row>
    <row r="276" ht="15" customHeight="1" s="59">
      <c r="C276" s="90">
        <f>IF(B276="","",IFERROR(VLOOKUP(B276,EQUIPEMENTS!A:B,2,0),""))</f>
        <v/>
      </c>
      <c r="H276" s="91" t="n"/>
      <c r="J276" s="91" t="n"/>
      <c r="M276" s="91" t="n"/>
    </row>
    <row r="277" ht="15" customHeight="1" s="59">
      <c r="C277" s="90">
        <f>IF(B277="","",IFERROR(VLOOKUP(B277,EQUIPEMENTS!A:B,2,0),""))</f>
        <v/>
      </c>
      <c r="H277" s="91" t="n"/>
      <c r="J277" s="91" t="n"/>
      <c r="M277" s="91" t="n"/>
    </row>
    <row r="278" ht="15" customHeight="1" s="59">
      <c r="C278" s="90">
        <f>IF(B278="","",IFERROR(VLOOKUP(B278,EQUIPEMENTS!A:B,2,0),""))</f>
        <v/>
      </c>
      <c r="H278" s="91" t="n"/>
      <c r="J278" s="91" t="n"/>
      <c r="M278" s="91" t="n"/>
    </row>
    <row r="279" ht="15" customHeight="1" s="59">
      <c r="C279" s="90">
        <f>IF(B279="","",IFERROR(VLOOKUP(B279,EQUIPEMENTS!A:B,2,0),""))</f>
        <v/>
      </c>
      <c r="H279" s="91" t="n"/>
      <c r="J279" s="91" t="n"/>
      <c r="M279" s="91" t="n"/>
    </row>
    <row r="280" ht="15" customHeight="1" s="59">
      <c r="C280" s="90">
        <f>IF(B280="","",IFERROR(VLOOKUP(B280,EQUIPEMENTS!A:B,2,0),""))</f>
        <v/>
      </c>
      <c r="H280" s="91" t="n"/>
      <c r="J280" s="91" t="n"/>
      <c r="M280" s="91" t="n"/>
    </row>
    <row r="281" ht="15" customHeight="1" s="59">
      <c r="C281" s="90">
        <f>IF(B281="","",IFERROR(VLOOKUP(B281,EQUIPEMENTS!A:B,2,0),""))</f>
        <v/>
      </c>
      <c r="H281" s="91" t="n"/>
      <c r="J281" s="91" t="n"/>
      <c r="M281" s="91" t="n"/>
    </row>
    <row r="282" ht="15" customHeight="1" s="59">
      <c r="C282" s="90">
        <f>IF(B282="","",IFERROR(VLOOKUP(B282,EQUIPEMENTS!A:B,2,0),""))</f>
        <v/>
      </c>
      <c r="H282" s="91" t="n"/>
      <c r="J282" s="91" t="n"/>
      <c r="M282" s="91" t="n"/>
    </row>
    <row r="283" ht="15" customHeight="1" s="59">
      <c r="C283" s="90">
        <f>IF(B283="","",IFERROR(VLOOKUP(B283,EQUIPEMENTS!A:B,2,0),""))</f>
        <v/>
      </c>
      <c r="H283" s="91" t="n"/>
      <c r="J283" s="91" t="n"/>
      <c r="M283" s="91" t="n"/>
    </row>
    <row r="284" ht="15" customHeight="1" s="59">
      <c r="C284" s="90">
        <f>IF(B284="","",IFERROR(VLOOKUP(B284,EQUIPEMENTS!A:B,2,0),""))</f>
        <v/>
      </c>
      <c r="H284" s="91" t="n"/>
      <c r="J284" s="91" t="n"/>
      <c r="M284" s="91" t="n"/>
    </row>
    <row r="285" ht="15" customHeight="1" s="59">
      <c r="C285" s="90">
        <f>IF(B285="","",IFERROR(VLOOKUP(B285,EQUIPEMENTS!A:B,2,0),""))</f>
        <v/>
      </c>
      <c r="H285" s="91" t="n"/>
      <c r="J285" s="91" t="n"/>
      <c r="M285" s="91" t="n"/>
    </row>
    <row r="286" ht="15" customHeight="1" s="59">
      <c r="C286" s="90">
        <f>IF(B286="","",IFERROR(VLOOKUP(B286,EQUIPEMENTS!A:B,2,0),""))</f>
        <v/>
      </c>
      <c r="H286" s="91" t="n"/>
      <c r="J286" s="91" t="n"/>
      <c r="M286" s="91" t="n"/>
    </row>
    <row r="287" ht="15" customHeight="1" s="59">
      <c r="C287" s="90">
        <f>IF(B287="","",IFERROR(VLOOKUP(B287,EQUIPEMENTS!A:B,2,0),""))</f>
        <v/>
      </c>
      <c r="H287" s="91" t="n"/>
      <c r="J287" s="91" t="n"/>
      <c r="M287" s="91" t="n"/>
    </row>
    <row r="288" ht="15" customHeight="1" s="59">
      <c r="C288" s="90">
        <f>IF(B288="","",IFERROR(VLOOKUP(B288,EQUIPEMENTS!A:B,2,0),""))</f>
        <v/>
      </c>
      <c r="H288" s="91" t="n"/>
      <c r="J288" s="91" t="n"/>
      <c r="M288" s="91" t="n"/>
    </row>
    <row r="289" ht="15" customHeight="1" s="59">
      <c r="C289" s="90">
        <f>IF(B289="","",IFERROR(VLOOKUP(B289,EQUIPEMENTS!A:B,2,0),""))</f>
        <v/>
      </c>
      <c r="H289" s="91" t="n"/>
      <c r="J289" s="91" t="n"/>
      <c r="M289" s="91" t="n"/>
    </row>
    <row r="290" ht="15" customHeight="1" s="59">
      <c r="C290" s="90">
        <f>IF(B290="","",IFERROR(VLOOKUP(B290,EQUIPEMENTS!A:B,2,0),""))</f>
        <v/>
      </c>
      <c r="H290" s="91" t="n"/>
      <c r="J290" s="91" t="n"/>
      <c r="M290" s="91" t="n"/>
    </row>
    <row r="291" ht="15" customHeight="1" s="59">
      <c r="C291" s="90">
        <f>IF(B291="","",IFERROR(VLOOKUP(B291,EQUIPEMENTS!A:B,2,0),""))</f>
        <v/>
      </c>
      <c r="H291" s="91" t="n"/>
      <c r="J291" s="91" t="n"/>
      <c r="M291" s="91" t="n"/>
    </row>
    <row r="292" ht="15" customHeight="1" s="59">
      <c r="C292" s="90">
        <f>IF(B292="","",IFERROR(VLOOKUP(B292,EQUIPEMENTS!A:B,2,0),""))</f>
        <v/>
      </c>
      <c r="H292" s="91" t="n"/>
      <c r="J292" s="91" t="n"/>
      <c r="M292" s="91" t="n"/>
    </row>
    <row r="293" ht="15" customHeight="1" s="59">
      <c r="C293" s="90">
        <f>IF(B293="","",IFERROR(VLOOKUP(B293,EQUIPEMENTS!A:B,2,0),""))</f>
        <v/>
      </c>
      <c r="H293" s="91" t="n"/>
      <c r="J293" s="91" t="n"/>
      <c r="M293" s="91" t="n"/>
    </row>
    <row r="294" ht="15" customHeight="1" s="59">
      <c r="C294" s="90">
        <f>IF(B294="","",IFERROR(VLOOKUP(B294,EQUIPEMENTS!A:B,2,0),""))</f>
        <v/>
      </c>
      <c r="H294" s="91" t="n"/>
      <c r="J294" s="91" t="n"/>
      <c r="M294" s="91" t="n"/>
    </row>
    <row r="295" ht="15" customHeight="1" s="59">
      <c r="C295" s="90">
        <f>IF(B295="","",IFERROR(VLOOKUP(B295,EQUIPEMENTS!A:B,2,0),""))</f>
        <v/>
      </c>
      <c r="H295" s="91" t="n"/>
      <c r="J295" s="91" t="n"/>
      <c r="M295" s="91" t="n"/>
    </row>
    <row r="296" ht="15" customHeight="1" s="59">
      <c r="C296" s="90">
        <f>IF(B296="","",IFERROR(VLOOKUP(B296,EQUIPEMENTS!A:B,2,0),""))</f>
        <v/>
      </c>
      <c r="H296" s="91" t="n"/>
      <c r="J296" s="91" t="n"/>
      <c r="M296" s="91" t="n"/>
    </row>
    <row r="297" ht="15" customHeight="1" s="59">
      <c r="C297" s="90">
        <f>IF(B297="","",IFERROR(VLOOKUP(B297,EQUIPEMENTS!A:B,2,0),""))</f>
        <v/>
      </c>
      <c r="H297" s="91" t="n"/>
      <c r="J297" s="91" t="n"/>
      <c r="M297" s="91" t="n"/>
    </row>
    <row r="298" ht="15" customHeight="1" s="59">
      <c r="C298" s="90">
        <f>IF(B298="","",IFERROR(VLOOKUP(B298,EQUIPEMENTS!A:B,2,0),""))</f>
        <v/>
      </c>
      <c r="H298" s="91" t="n"/>
      <c r="J298" s="91" t="n"/>
      <c r="M298" s="91" t="n"/>
    </row>
    <row r="299" ht="15" customHeight="1" s="59">
      <c r="C299" s="90">
        <f>IF(B299="","",IFERROR(VLOOKUP(B299,EQUIPEMENTS!A:B,2,0),""))</f>
        <v/>
      </c>
      <c r="H299" s="91" t="n"/>
      <c r="J299" s="91" t="n"/>
      <c r="M299" s="91" t="n"/>
    </row>
    <row r="300" ht="15" customHeight="1" s="59">
      <c r="C300" s="90">
        <f>IF(B300="","",IFERROR(VLOOKUP(B300,EQUIPEMENTS!A:B,2,0),""))</f>
        <v/>
      </c>
      <c r="H300" s="91" t="n"/>
      <c r="J300" s="91" t="n"/>
      <c r="M300" s="91" t="n"/>
    </row>
    <row r="301" ht="15" customHeight="1" s="59">
      <c r="C301" s="90">
        <f>IF(B301="","",IFERROR(VLOOKUP(B301,EQUIPEMENTS!A:B,2,0),""))</f>
        <v/>
      </c>
      <c r="H301" s="91" t="n"/>
      <c r="J301" s="91" t="n"/>
      <c r="M301" s="91" t="n"/>
    </row>
    <row r="302" ht="15" customHeight="1" s="59">
      <c r="C302" s="90">
        <f>IF(B302="","",IFERROR(VLOOKUP(B302,EQUIPEMENTS!A:B,2,0),""))</f>
        <v/>
      </c>
      <c r="H302" s="91" t="n"/>
      <c r="J302" s="91" t="n"/>
      <c r="M302" s="91" t="n"/>
    </row>
    <row r="303" ht="15" customHeight="1" s="59">
      <c r="C303" s="90">
        <f>IF(B303="","",IFERROR(VLOOKUP(B303,EQUIPEMENTS!A:B,2,0),""))</f>
        <v/>
      </c>
      <c r="H303" s="91" t="n"/>
      <c r="J303" s="91" t="n"/>
      <c r="M303" s="91" t="n"/>
    </row>
    <row r="304" ht="15" customHeight="1" s="59">
      <c r="C304" s="90">
        <f>IF(B304="","",IFERROR(VLOOKUP(B304,EQUIPEMENTS!A:B,2,0),""))</f>
        <v/>
      </c>
      <c r="H304" s="91" t="n"/>
      <c r="J304" s="91" t="n"/>
      <c r="M304" s="91" t="n"/>
    </row>
    <row r="305" ht="15" customHeight="1" s="59">
      <c r="C305" s="90">
        <f>IF(B305="","",IFERROR(VLOOKUP(B305,EQUIPEMENTS!A:B,2,0),""))</f>
        <v/>
      </c>
      <c r="H305" s="91" t="n"/>
      <c r="J305" s="91" t="n"/>
      <c r="M305" s="91" t="n"/>
    </row>
    <row r="306" ht="15" customHeight="1" s="59">
      <c r="C306" s="90">
        <f>IF(B306="","",IFERROR(VLOOKUP(B306,EQUIPEMENTS!A:B,2,0),""))</f>
        <v/>
      </c>
      <c r="H306" s="91" t="n"/>
      <c r="J306" s="91" t="n"/>
      <c r="M306" s="91" t="n"/>
    </row>
    <row r="307" ht="15" customHeight="1" s="59">
      <c r="C307" s="90">
        <f>IF(B307="","",IFERROR(VLOOKUP(B307,EQUIPEMENTS!A:B,2,0),""))</f>
        <v/>
      </c>
      <c r="H307" s="91" t="n"/>
      <c r="J307" s="91" t="n"/>
      <c r="M307" s="91" t="n"/>
    </row>
    <row r="308" ht="15" customHeight="1" s="59">
      <c r="C308" s="90">
        <f>IF(B308="","",IFERROR(VLOOKUP(B308,EQUIPEMENTS!A:B,2,0),""))</f>
        <v/>
      </c>
      <c r="H308" s="91" t="n"/>
      <c r="J308" s="91" t="n"/>
      <c r="M308" s="91" t="n"/>
    </row>
    <row r="309" ht="15" customHeight="1" s="59">
      <c r="C309" s="90">
        <f>IF(B309="","",IFERROR(VLOOKUP(B309,EQUIPEMENTS!A:B,2,0),""))</f>
        <v/>
      </c>
      <c r="H309" s="91" t="n"/>
      <c r="J309" s="91" t="n"/>
      <c r="M309" s="91" t="n"/>
    </row>
    <row r="310" ht="15" customHeight="1" s="59">
      <c r="C310" s="90">
        <f>IF(B310="","",IFERROR(VLOOKUP(B310,EQUIPEMENTS!A:B,2,0),""))</f>
        <v/>
      </c>
      <c r="H310" s="91" t="n"/>
      <c r="J310" s="91" t="n"/>
      <c r="M310" s="91" t="n"/>
    </row>
    <row r="311" ht="15" customHeight="1" s="59">
      <c r="C311" s="90">
        <f>IF(B311="","",IFERROR(VLOOKUP(B311,EQUIPEMENTS!A:B,2,0),""))</f>
        <v/>
      </c>
      <c r="H311" s="91" t="n"/>
      <c r="J311" s="91" t="n"/>
      <c r="M311" s="91" t="n"/>
    </row>
    <row r="312" ht="15" customHeight="1" s="59">
      <c r="C312" s="90">
        <f>IF(B312="","",IFERROR(VLOOKUP(B312,EQUIPEMENTS!A:B,2,0),""))</f>
        <v/>
      </c>
      <c r="H312" s="91" t="n"/>
      <c r="J312" s="91" t="n"/>
      <c r="M312" s="91" t="n"/>
    </row>
    <row r="313" ht="15" customHeight="1" s="59">
      <c r="C313" s="90">
        <f>IF(B313="","",IFERROR(VLOOKUP(B313,EQUIPEMENTS!A:B,2,0),""))</f>
        <v/>
      </c>
      <c r="H313" s="91" t="n"/>
      <c r="J313" s="91" t="n"/>
      <c r="M313" s="91" t="n"/>
    </row>
    <row r="314" ht="15" customHeight="1" s="59">
      <c r="C314" s="90">
        <f>IF(B314="","",IFERROR(VLOOKUP(B314,EQUIPEMENTS!A:B,2,0),""))</f>
        <v/>
      </c>
      <c r="H314" s="91" t="n"/>
      <c r="J314" s="91" t="n"/>
      <c r="M314" s="91" t="n"/>
    </row>
    <row r="315" ht="15" customHeight="1" s="59">
      <c r="C315" s="90">
        <f>IF(B315="","",IFERROR(VLOOKUP(B315,EQUIPEMENTS!A:B,2,0),""))</f>
        <v/>
      </c>
      <c r="H315" s="91" t="n"/>
      <c r="J315" s="91" t="n"/>
      <c r="M315" s="91" t="n"/>
    </row>
    <row r="316" ht="15" customHeight="1" s="59">
      <c r="C316" s="90">
        <f>IF(B316="","",IFERROR(VLOOKUP(B316,EQUIPEMENTS!A:B,2,0),""))</f>
        <v/>
      </c>
      <c r="H316" s="91" t="n"/>
      <c r="J316" s="91" t="n"/>
      <c r="M316" s="91" t="n"/>
    </row>
    <row r="317" ht="15" customHeight="1" s="59">
      <c r="C317" s="90">
        <f>IF(B317="","",IFERROR(VLOOKUP(B317,EQUIPEMENTS!A:B,2,0),""))</f>
        <v/>
      </c>
      <c r="H317" s="91" t="n"/>
      <c r="J317" s="91" t="n"/>
      <c r="M317" s="91" t="n"/>
    </row>
    <row r="318" ht="15" customHeight="1" s="59">
      <c r="C318" s="90">
        <f>IF(B318="","",IFERROR(VLOOKUP(B318,EQUIPEMENTS!A:B,2,0),""))</f>
        <v/>
      </c>
      <c r="H318" s="91" t="n"/>
      <c r="J318" s="91" t="n"/>
      <c r="M318" s="91" t="n"/>
    </row>
    <row r="319" ht="15" customHeight="1" s="59">
      <c r="C319" s="90">
        <f>IF(B319="","",IFERROR(VLOOKUP(B319,EQUIPEMENTS!A:B,2,0),""))</f>
        <v/>
      </c>
      <c r="H319" s="91" t="n"/>
      <c r="J319" s="91" t="n"/>
      <c r="M319" s="91" t="n"/>
    </row>
    <row r="320" ht="15" customHeight="1" s="59">
      <c r="C320" s="90">
        <f>IF(B320="","",IFERROR(VLOOKUP(B320,EQUIPEMENTS!A:B,2,0),""))</f>
        <v/>
      </c>
      <c r="H320" s="91" t="n"/>
      <c r="J320" s="91" t="n"/>
      <c r="M320" s="91" t="n"/>
    </row>
    <row r="321" ht="15" customHeight="1" s="59">
      <c r="C321" s="90">
        <f>IF(B321="","",IFERROR(VLOOKUP(B321,EQUIPEMENTS!A:B,2,0),""))</f>
        <v/>
      </c>
      <c r="H321" s="91" t="n"/>
      <c r="J321" s="91" t="n"/>
      <c r="M321" s="91" t="n"/>
    </row>
    <row r="322" ht="15" customHeight="1" s="59">
      <c r="C322" s="90">
        <f>IF(B322="","",IFERROR(VLOOKUP(B322,EQUIPEMENTS!A:B,2,0),""))</f>
        <v/>
      </c>
      <c r="H322" s="91" t="n"/>
      <c r="J322" s="91" t="n"/>
      <c r="M322" s="91" t="n"/>
    </row>
    <row r="323" ht="15" customHeight="1" s="59">
      <c r="C323" s="90">
        <f>IF(B323="","",IFERROR(VLOOKUP(B323,EQUIPEMENTS!A:B,2,0),""))</f>
        <v/>
      </c>
      <c r="H323" s="91" t="n"/>
      <c r="J323" s="91" t="n"/>
      <c r="M323" s="91" t="n"/>
    </row>
    <row r="324" ht="15" customHeight="1" s="59">
      <c r="C324" s="90">
        <f>IF(B324="","",IFERROR(VLOOKUP(B324,EQUIPEMENTS!A:B,2,0),""))</f>
        <v/>
      </c>
      <c r="H324" s="91" t="n"/>
      <c r="J324" s="91" t="n"/>
      <c r="M324" s="91" t="n"/>
    </row>
    <row r="325" ht="15" customHeight="1" s="59">
      <c r="C325" s="90">
        <f>IF(B325="","",IFERROR(VLOOKUP(B325,EQUIPEMENTS!A:B,2,0),""))</f>
        <v/>
      </c>
      <c r="H325" s="91" t="n"/>
      <c r="J325" s="91" t="n"/>
      <c r="M325" s="91" t="n"/>
    </row>
    <row r="326" ht="15" customHeight="1" s="59">
      <c r="C326" s="90">
        <f>IF(B326="","",IFERROR(VLOOKUP(B326,EQUIPEMENTS!A:B,2,0),""))</f>
        <v/>
      </c>
      <c r="H326" s="91" t="n"/>
      <c r="J326" s="91" t="n"/>
      <c r="M326" s="91" t="n"/>
    </row>
    <row r="327" ht="15" customHeight="1" s="59">
      <c r="C327" s="90">
        <f>IF(B327="","",IFERROR(VLOOKUP(B327,EQUIPEMENTS!A:B,2,0),""))</f>
        <v/>
      </c>
      <c r="H327" s="91" t="n"/>
      <c r="J327" s="91" t="n"/>
      <c r="M327" s="91" t="n"/>
    </row>
    <row r="328" ht="15" customHeight="1" s="59">
      <c r="C328" s="90">
        <f>IF(B328="","",IFERROR(VLOOKUP(B328,EQUIPEMENTS!A:B,2,0),""))</f>
        <v/>
      </c>
      <c r="H328" s="91" t="n"/>
      <c r="J328" s="91" t="n"/>
      <c r="M328" s="91" t="n"/>
    </row>
    <row r="329" ht="15" customHeight="1" s="59">
      <c r="C329" s="90">
        <f>IF(B329="","",IFERROR(VLOOKUP(B329,EQUIPEMENTS!A:B,2,0),""))</f>
        <v/>
      </c>
      <c r="H329" s="91" t="n"/>
      <c r="J329" s="91" t="n"/>
      <c r="M329" s="91" t="n"/>
    </row>
    <row r="330" ht="15" customHeight="1" s="59">
      <c r="C330" s="90">
        <f>IF(B330="","",IFERROR(VLOOKUP(B330,EQUIPEMENTS!A:B,2,0),""))</f>
        <v/>
      </c>
      <c r="H330" s="91" t="n"/>
      <c r="J330" s="91" t="n"/>
      <c r="M330" s="91" t="n"/>
    </row>
    <row r="331" ht="15" customHeight="1" s="59">
      <c r="C331" s="90">
        <f>IF(B331="","",IFERROR(VLOOKUP(B331,EQUIPEMENTS!A:B,2,0),""))</f>
        <v/>
      </c>
      <c r="H331" s="91" t="n"/>
      <c r="J331" s="91" t="n"/>
      <c r="M331" s="91" t="n"/>
    </row>
    <row r="332" ht="15" customHeight="1" s="59">
      <c r="C332" s="90">
        <f>IF(B332="","",IFERROR(VLOOKUP(B332,EQUIPEMENTS!A:B,2,0),""))</f>
        <v/>
      </c>
      <c r="H332" s="91" t="n"/>
      <c r="J332" s="91" t="n"/>
      <c r="M332" s="91" t="n"/>
    </row>
    <row r="333" ht="15" customHeight="1" s="59">
      <c r="C333" s="90">
        <f>IF(B333="","",IFERROR(VLOOKUP(B333,EQUIPEMENTS!A:B,2,0),""))</f>
        <v/>
      </c>
      <c r="H333" s="91" t="n"/>
      <c r="J333" s="91" t="n"/>
      <c r="M333" s="91" t="n"/>
    </row>
    <row r="334" ht="15" customHeight="1" s="59">
      <c r="C334" s="90">
        <f>IF(B334="","",IFERROR(VLOOKUP(B334,EQUIPEMENTS!A:B,2,0),""))</f>
        <v/>
      </c>
      <c r="H334" s="91" t="n"/>
      <c r="J334" s="91" t="n"/>
      <c r="M334" s="91" t="n"/>
    </row>
    <row r="335" ht="15" customHeight="1" s="59">
      <c r="C335" s="90">
        <f>IF(B335="","",IFERROR(VLOOKUP(B335,EQUIPEMENTS!A:B,2,0),""))</f>
        <v/>
      </c>
      <c r="H335" s="91" t="n"/>
      <c r="J335" s="91" t="n"/>
      <c r="M335" s="91" t="n"/>
    </row>
    <row r="336" ht="15" customHeight="1" s="59">
      <c r="C336" s="90">
        <f>IF(B336="","",IFERROR(VLOOKUP(B336,EQUIPEMENTS!A:B,2,0),""))</f>
        <v/>
      </c>
      <c r="H336" s="91" t="n"/>
      <c r="J336" s="91" t="n"/>
      <c r="M336" s="91" t="n"/>
    </row>
    <row r="337" ht="15" customHeight="1" s="59">
      <c r="C337" s="90">
        <f>IF(B337="","",IFERROR(VLOOKUP(B337,EQUIPEMENTS!A:B,2,0),""))</f>
        <v/>
      </c>
      <c r="H337" s="91" t="n"/>
      <c r="J337" s="91" t="n"/>
      <c r="M337" s="91" t="n"/>
    </row>
    <row r="338" ht="15" customHeight="1" s="59">
      <c r="C338" s="90">
        <f>IF(B338="","",IFERROR(VLOOKUP(B338,EQUIPEMENTS!A:B,2,0),""))</f>
        <v/>
      </c>
      <c r="H338" s="91" t="n"/>
      <c r="J338" s="91" t="n"/>
      <c r="M338" s="91" t="n"/>
    </row>
    <row r="339" ht="15" customHeight="1" s="59">
      <c r="C339" s="90">
        <f>IF(B339="","",IFERROR(VLOOKUP(B339,EQUIPEMENTS!A:B,2,0),""))</f>
        <v/>
      </c>
      <c r="H339" s="91" t="n"/>
      <c r="J339" s="91" t="n"/>
      <c r="M339" s="91" t="n"/>
    </row>
    <row r="340" ht="15" customHeight="1" s="59">
      <c r="C340" s="90">
        <f>IF(B340="","",IFERROR(VLOOKUP(B340,EQUIPEMENTS!A:B,2,0),""))</f>
        <v/>
      </c>
      <c r="H340" s="91" t="n"/>
      <c r="J340" s="91" t="n"/>
      <c r="M340" s="91" t="n"/>
    </row>
    <row r="341" ht="15" customHeight="1" s="59">
      <c r="C341" s="90">
        <f>IF(B341="","",IFERROR(VLOOKUP(B341,EQUIPEMENTS!A:B,2,0),""))</f>
        <v/>
      </c>
      <c r="H341" s="91" t="n"/>
      <c r="J341" s="91" t="n"/>
      <c r="M341" s="91" t="n"/>
    </row>
    <row r="342" ht="15" customHeight="1" s="59">
      <c r="C342" s="90">
        <f>IF(B342="","",IFERROR(VLOOKUP(B342,EQUIPEMENTS!A:B,2,0),""))</f>
        <v/>
      </c>
      <c r="H342" s="91" t="n"/>
      <c r="J342" s="91" t="n"/>
      <c r="M342" s="91" t="n"/>
    </row>
    <row r="343" ht="15" customHeight="1" s="59">
      <c r="C343" s="90">
        <f>IF(B343="","",IFERROR(VLOOKUP(B343,EQUIPEMENTS!A:B,2,0),""))</f>
        <v/>
      </c>
      <c r="H343" s="91" t="n"/>
      <c r="J343" s="91" t="n"/>
      <c r="M343" s="91" t="n"/>
    </row>
    <row r="344" ht="15" customHeight="1" s="59">
      <c r="C344" s="90">
        <f>IF(B344="","",IFERROR(VLOOKUP(B344,EQUIPEMENTS!A:B,2,0),""))</f>
        <v/>
      </c>
      <c r="H344" s="91" t="n"/>
      <c r="J344" s="91" t="n"/>
      <c r="M344" s="91" t="n"/>
    </row>
    <row r="345" ht="15" customHeight="1" s="59">
      <c r="C345" s="90">
        <f>IF(B345="","",IFERROR(VLOOKUP(B345,EQUIPEMENTS!A:B,2,0),""))</f>
        <v/>
      </c>
      <c r="H345" s="91" t="n"/>
      <c r="J345" s="91" t="n"/>
      <c r="M345" s="91" t="n"/>
    </row>
    <row r="346" ht="15" customHeight="1" s="59">
      <c r="C346" s="90">
        <f>IF(B346="","",IFERROR(VLOOKUP(B346,EQUIPEMENTS!A:B,2,0),""))</f>
        <v/>
      </c>
      <c r="H346" s="91" t="n"/>
      <c r="J346" s="91" t="n"/>
      <c r="M346" s="91" t="n"/>
    </row>
    <row r="347" ht="15" customHeight="1" s="59">
      <c r="C347" s="90">
        <f>IF(B347="","",IFERROR(VLOOKUP(B347,EQUIPEMENTS!A:B,2,0),""))</f>
        <v/>
      </c>
      <c r="H347" s="91" t="n"/>
      <c r="J347" s="91" t="n"/>
      <c r="M347" s="91" t="n"/>
    </row>
    <row r="348" ht="15" customHeight="1" s="59">
      <c r="C348" s="90">
        <f>IF(B348="","",IFERROR(VLOOKUP(B348,EQUIPEMENTS!A:B,2,0),""))</f>
        <v/>
      </c>
      <c r="H348" s="91" t="n"/>
      <c r="J348" s="91" t="n"/>
      <c r="M348" s="91" t="n"/>
    </row>
    <row r="349" ht="15" customHeight="1" s="59">
      <c r="C349" s="90">
        <f>IF(B349="","",IFERROR(VLOOKUP(B349,EQUIPEMENTS!A:B,2,0),""))</f>
        <v/>
      </c>
      <c r="H349" s="91" t="n"/>
      <c r="J349" s="91" t="n"/>
      <c r="M349" s="91" t="n"/>
    </row>
    <row r="350" ht="15" customHeight="1" s="59">
      <c r="C350" s="90">
        <f>IF(B350="","",IFERROR(VLOOKUP(B350,EQUIPEMENTS!A:B,2,0),""))</f>
        <v/>
      </c>
      <c r="H350" s="91" t="n"/>
      <c r="J350" s="91" t="n"/>
      <c r="M350" s="91" t="n"/>
    </row>
    <row r="351" ht="15" customHeight="1" s="59">
      <c r="C351" s="90">
        <f>IF(B351="","",IFERROR(VLOOKUP(B351,EQUIPEMENTS!A:B,2,0),""))</f>
        <v/>
      </c>
      <c r="H351" s="91" t="n"/>
      <c r="J351" s="91" t="n"/>
      <c r="M351" s="91" t="n"/>
    </row>
    <row r="352" ht="15" customHeight="1" s="59">
      <c r="C352" s="90">
        <f>IF(B352="","",IFERROR(VLOOKUP(B352,EQUIPEMENTS!A:B,2,0),""))</f>
        <v/>
      </c>
      <c r="H352" s="91" t="n"/>
      <c r="J352" s="91" t="n"/>
      <c r="M352" s="91" t="n"/>
    </row>
    <row r="353" ht="15" customHeight="1" s="59">
      <c r="C353" s="90">
        <f>IF(B353="","",IFERROR(VLOOKUP(B353,EQUIPEMENTS!A:B,2,0),""))</f>
        <v/>
      </c>
      <c r="H353" s="91" t="n"/>
      <c r="J353" s="91" t="n"/>
      <c r="M353" s="91" t="n"/>
    </row>
    <row r="354" ht="15" customHeight="1" s="59">
      <c r="C354" s="90">
        <f>IF(B354="","",IFERROR(VLOOKUP(B354,EQUIPEMENTS!A:B,2,0),""))</f>
        <v/>
      </c>
      <c r="H354" s="91" t="n"/>
      <c r="J354" s="91" t="n"/>
      <c r="M354" s="91" t="n"/>
    </row>
    <row r="355" ht="15" customHeight="1" s="59">
      <c r="C355" s="90">
        <f>IF(B355="","",IFERROR(VLOOKUP(B355,EQUIPEMENTS!A:B,2,0),""))</f>
        <v/>
      </c>
      <c r="H355" s="91" t="n"/>
      <c r="J355" s="91" t="n"/>
      <c r="M355" s="91" t="n"/>
    </row>
    <row r="356" ht="15" customHeight="1" s="59">
      <c r="C356" s="90">
        <f>IF(B356="","",IFERROR(VLOOKUP(B356,EQUIPEMENTS!A:B,2,0),""))</f>
        <v/>
      </c>
      <c r="H356" s="91" t="n"/>
      <c r="J356" s="91" t="n"/>
      <c r="M356" s="91" t="n"/>
    </row>
    <row r="357" ht="15" customHeight="1" s="59">
      <c r="C357" s="90">
        <f>IF(B357="","",IFERROR(VLOOKUP(B357,EQUIPEMENTS!A:B,2,0),""))</f>
        <v/>
      </c>
      <c r="H357" s="91" t="n"/>
      <c r="J357" s="91" t="n"/>
      <c r="M357" s="91" t="n"/>
    </row>
    <row r="358" ht="15" customHeight="1" s="59">
      <c r="C358" s="90">
        <f>IF(B358="","",IFERROR(VLOOKUP(B358,EQUIPEMENTS!A:B,2,0),""))</f>
        <v/>
      </c>
      <c r="H358" s="91" t="n"/>
      <c r="J358" s="91" t="n"/>
      <c r="M358" s="91" t="n"/>
    </row>
    <row r="359" ht="15" customHeight="1" s="59">
      <c r="C359" s="90">
        <f>IF(B359="","",IFERROR(VLOOKUP(B359,EQUIPEMENTS!A:B,2,0),""))</f>
        <v/>
      </c>
      <c r="H359" s="91" t="n"/>
      <c r="J359" s="91" t="n"/>
      <c r="M359" s="91" t="n"/>
    </row>
    <row r="360" ht="15" customHeight="1" s="59">
      <c r="C360" s="90">
        <f>IF(B360="","",IFERROR(VLOOKUP(B360,EQUIPEMENTS!A:B,2,0),""))</f>
        <v/>
      </c>
      <c r="H360" s="91" t="n"/>
      <c r="J360" s="91" t="n"/>
      <c r="M360" s="91" t="n"/>
    </row>
    <row r="361" ht="15" customHeight="1" s="59">
      <c r="C361" s="90">
        <f>IF(B361="","",IFERROR(VLOOKUP(B361,EQUIPEMENTS!A:B,2,0),""))</f>
        <v/>
      </c>
      <c r="H361" s="91" t="n"/>
      <c r="J361" s="91" t="n"/>
      <c r="M361" s="91" t="n"/>
    </row>
    <row r="362" ht="15" customHeight="1" s="59">
      <c r="C362" s="90">
        <f>IF(B362="","",IFERROR(VLOOKUP(B362,EQUIPEMENTS!A:B,2,0),""))</f>
        <v/>
      </c>
      <c r="H362" s="91" t="n"/>
      <c r="J362" s="91" t="n"/>
      <c r="M362" s="91" t="n"/>
    </row>
    <row r="363" ht="15" customHeight="1" s="59">
      <c r="C363" s="90">
        <f>IF(B363="","",IFERROR(VLOOKUP(B363,EQUIPEMENTS!A:B,2,0),""))</f>
        <v/>
      </c>
      <c r="H363" s="91" t="n"/>
      <c r="J363" s="91" t="n"/>
      <c r="M363" s="91" t="n"/>
    </row>
    <row r="364" ht="15" customHeight="1" s="59">
      <c r="C364" s="90">
        <f>IF(B364="","",IFERROR(VLOOKUP(B364,EQUIPEMENTS!A:B,2,0),""))</f>
        <v/>
      </c>
      <c r="H364" s="91" t="n"/>
      <c r="J364" s="91" t="n"/>
      <c r="M364" s="91" t="n"/>
    </row>
    <row r="365" ht="15" customHeight="1" s="59">
      <c r="C365" s="90">
        <f>IF(B365="","",IFERROR(VLOOKUP(B365,EQUIPEMENTS!A:B,2,0),""))</f>
        <v/>
      </c>
      <c r="H365" s="91" t="n"/>
      <c r="J365" s="91" t="n"/>
      <c r="M365" s="91" t="n"/>
    </row>
    <row r="366" ht="15" customHeight="1" s="59">
      <c r="C366" s="90">
        <f>IF(B366="","",IFERROR(VLOOKUP(B366,EQUIPEMENTS!A:B,2,0),""))</f>
        <v/>
      </c>
      <c r="H366" s="91" t="n"/>
      <c r="J366" s="91" t="n"/>
      <c r="M366" s="91" t="n"/>
    </row>
    <row r="367" ht="15" customHeight="1" s="59">
      <c r="C367" s="90">
        <f>IF(B367="","",IFERROR(VLOOKUP(B367,EQUIPEMENTS!A:B,2,0),""))</f>
        <v/>
      </c>
      <c r="H367" s="91" t="n"/>
      <c r="J367" s="91" t="n"/>
      <c r="M367" s="91" t="n"/>
    </row>
    <row r="368" ht="15" customHeight="1" s="59">
      <c r="C368" s="90">
        <f>IF(B368="","",IFERROR(VLOOKUP(B368,EQUIPEMENTS!A:B,2,0),""))</f>
        <v/>
      </c>
      <c r="H368" s="91" t="n"/>
      <c r="J368" s="91" t="n"/>
      <c r="M368" s="91" t="n"/>
    </row>
    <row r="369" ht="15" customHeight="1" s="59">
      <c r="C369" s="90">
        <f>IF(B369="","",IFERROR(VLOOKUP(B369,EQUIPEMENTS!A:B,2,0),""))</f>
        <v/>
      </c>
      <c r="H369" s="91" t="n"/>
      <c r="J369" s="91" t="n"/>
      <c r="M369" s="91" t="n"/>
    </row>
    <row r="370" ht="15" customHeight="1" s="59">
      <c r="C370" s="90">
        <f>IF(B370="","",IFERROR(VLOOKUP(B370,EQUIPEMENTS!A:B,2,0),""))</f>
        <v/>
      </c>
      <c r="H370" s="91" t="n"/>
      <c r="J370" s="91" t="n"/>
      <c r="M370" s="91" t="n"/>
    </row>
    <row r="371" ht="15" customHeight="1" s="59">
      <c r="C371" s="90">
        <f>IF(B371="","",IFERROR(VLOOKUP(B371,EQUIPEMENTS!A:B,2,0),""))</f>
        <v/>
      </c>
      <c r="H371" s="91" t="n"/>
      <c r="J371" s="91" t="n"/>
      <c r="M371" s="91" t="n"/>
    </row>
    <row r="372" ht="15" customHeight="1" s="59">
      <c r="C372" s="90">
        <f>IF(B372="","",IFERROR(VLOOKUP(B372,EQUIPEMENTS!A:B,2,0),""))</f>
        <v/>
      </c>
      <c r="H372" s="91" t="n"/>
      <c r="J372" s="91" t="n"/>
      <c r="M372" s="91" t="n"/>
    </row>
    <row r="373" ht="15" customHeight="1" s="59">
      <c r="C373" s="90">
        <f>IF(B373="","",IFERROR(VLOOKUP(B373,EQUIPEMENTS!A:B,2,0),""))</f>
        <v/>
      </c>
      <c r="H373" s="91" t="n"/>
      <c r="J373" s="91" t="n"/>
      <c r="M373" s="91" t="n"/>
    </row>
    <row r="374" ht="15" customHeight="1" s="59">
      <c r="C374" s="90">
        <f>IF(B374="","",IFERROR(VLOOKUP(B374,EQUIPEMENTS!A:B,2,0),""))</f>
        <v/>
      </c>
      <c r="H374" s="91" t="n"/>
      <c r="J374" s="91" t="n"/>
      <c r="M374" s="91" t="n"/>
    </row>
    <row r="375" ht="15" customHeight="1" s="59">
      <c r="C375" s="90">
        <f>IF(B375="","",IFERROR(VLOOKUP(B375,EQUIPEMENTS!A:B,2,0),""))</f>
        <v/>
      </c>
      <c r="H375" s="91" t="n"/>
      <c r="J375" s="91" t="n"/>
      <c r="M375" s="91" t="n"/>
    </row>
    <row r="376" ht="15" customHeight="1" s="59">
      <c r="C376" s="90">
        <f>IF(B376="","",IFERROR(VLOOKUP(B376,EQUIPEMENTS!A:B,2,0),""))</f>
        <v/>
      </c>
      <c r="H376" s="91" t="n"/>
      <c r="J376" s="91" t="n"/>
      <c r="M376" s="91" t="n"/>
    </row>
    <row r="377" ht="15" customHeight="1" s="59">
      <c r="C377" s="90">
        <f>IF(B377="","",IFERROR(VLOOKUP(B377,EQUIPEMENTS!A:B,2,0),""))</f>
        <v/>
      </c>
      <c r="H377" s="91" t="n"/>
      <c r="J377" s="91" t="n"/>
      <c r="M377" s="91" t="n"/>
    </row>
    <row r="378" ht="15" customHeight="1" s="59">
      <c r="C378" s="90">
        <f>IF(B378="","",IFERROR(VLOOKUP(B378,EQUIPEMENTS!A:B,2,0),""))</f>
        <v/>
      </c>
      <c r="H378" s="91" t="n"/>
      <c r="J378" s="91" t="n"/>
      <c r="M378" s="91" t="n"/>
    </row>
    <row r="379" ht="15" customHeight="1" s="59">
      <c r="C379" s="90">
        <f>IF(B379="","",IFERROR(VLOOKUP(B379,EQUIPEMENTS!A:B,2,0),""))</f>
        <v/>
      </c>
      <c r="H379" s="91" t="n"/>
      <c r="J379" s="91" t="n"/>
      <c r="M379" s="91" t="n"/>
    </row>
    <row r="380" ht="15" customHeight="1" s="59">
      <c r="C380" s="90">
        <f>IF(B380="","",IFERROR(VLOOKUP(B380,EQUIPEMENTS!A:B,2,0),""))</f>
        <v/>
      </c>
      <c r="H380" s="91" t="n"/>
      <c r="J380" s="91" t="n"/>
      <c r="M380" s="91" t="n"/>
    </row>
    <row r="381" ht="15" customHeight="1" s="59">
      <c r="C381" s="90">
        <f>IF(B381="","",IFERROR(VLOOKUP(B381,EQUIPEMENTS!A:B,2,0),""))</f>
        <v/>
      </c>
      <c r="H381" s="91" t="n"/>
      <c r="J381" s="91" t="n"/>
      <c r="M381" s="91" t="n"/>
    </row>
    <row r="382" ht="15" customHeight="1" s="59">
      <c r="C382" s="90">
        <f>IF(B382="","",IFERROR(VLOOKUP(B382,EQUIPEMENTS!A:B,2,0),""))</f>
        <v/>
      </c>
      <c r="H382" s="91" t="n"/>
      <c r="J382" s="91" t="n"/>
      <c r="M382" s="91" t="n"/>
    </row>
    <row r="383" ht="15" customHeight="1" s="59">
      <c r="C383" s="90">
        <f>IF(B383="","",IFERROR(VLOOKUP(B383,EQUIPEMENTS!A:B,2,0),""))</f>
        <v/>
      </c>
      <c r="H383" s="91" t="n"/>
      <c r="J383" s="91" t="n"/>
      <c r="M383" s="91" t="n"/>
    </row>
    <row r="384" ht="15" customHeight="1" s="59">
      <c r="C384" s="90">
        <f>IF(B384="","",IFERROR(VLOOKUP(B384,EQUIPEMENTS!A:B,2,0),""))</f>
        <v/>
      </c>
      <c r="H384" s="91" t="n"/>
      <c r="J384" s="91" t="n"/>
      <c r="M384" s="91" t="n"/>
    </row>
    <row r="385" ht="15" customHeight="1" s="59">
      <c r="C385" s="90">
        <f>IF(B385="","",IFERROR(VLOOKUP(B385,EQUIPEMENTS!A:B,2,0),""))</f>
        <v/>
      </c>
      <c r="H385" s="91" t="n"/>
      <c r="J385" s="91" t="n"/>
      <c r="M385" s="91" t="n"/>
    </row>
    <row r="386" ht="15" customHeight="1" s="59">
      <c r="C386" s="90">
        <f>IF(B386="","",IFERROR(VLOOKUP(B386,EQUIPEMENTS!A:B,2,0),""))</f>
        <v/>
      </c>
      <c r="H386" s="91" t="n"/>
      <c r="J386" s="91" t="n"/>
      <c r="M386" s="91" t="n"/>
    </row>
    <row r="387" ht="15" customHeight="1" s="59">
      <c r="C387" s="90">
        <f>IF(B387="","",IFERROR(VLOOKUP(B387,EQUIPEMENTS!A:B,2,0),""))</f>
        <v/>
      </c>
      <c r="H387" s="91" t="n"/>
      <c r="J387" s="91" t="n"/>
      <c r="M387" s="91" t="n"/>
    </row>
    <row r="388" ht="15" customHeight="1" s="59">
      <c r="C388" s="90">
        <f>IF(B388="","",IFERROR(VLOOKUP(B388,EQUIPEMENTS!A:B,2,0),""))</f>
        <v/>
      </c>
      <c r="H388" s="91" t="n"/>
      <c r="J388" s="91" t="n"/>
      <c r="M388" s="91" t="n"/>
    </row>
    <row r="389" ht="15" customHeight="1" s="59">
      <c r="C389" s="90">
        <f>IF(B389="","",IFERROR(VLOOKUP(B389,EQUIPEMENTS!A:B,2,0),""))</f>
        <v/>
      </c>
      <c r="H389" s="91" t="n"/>
      <c r="J389" s="91" t="n"/>
      <c r="M389" s="91" t="n"/>
    </row>
    <row r="390" ht="15" customHeight="1" s="59">
      <c r="C390" s="90">
        <f>IF(B390="","",IFERROR(VLOOKUP(B390,EQUIPEMENTS!A:B,2,0),""))</f>
        <v/>
      </c>
      <c r="H390" s="91" t="n"/>
      <c r="J390" s="91" t="n"/>
      <c r="M390" s="91" t="n"/>
    </row>
    <row r="391" ht="15" customHeight="1" s="59">
      <c r="C391" s="90">
        <f>IF(B391="","",IFERROR(VLOOKUP(B391,EQUIPEMENTS!A:B,2,0),""))</f>
        <v/>
      </c>
      <c r="H391" s="91" t="n"/>
      <c r="J391" s="91" t="n"/>
      <c r="M391" s="91" t="n"/>
    </row>
    <row r="392" ht="15" customHeight="1" s="59">
      <c r="C392" s="90">
        <f>IF(B392="","",IFERROR(VLOOKUP(B392,EQUIPEMENTS!A:B,2,0),""))</f>
        <v/>
      </c>
      <c r="H392" s="91" t="n"/>
      <c r="J392" s="91" t="n"/>
      <c r="M392" s="91" t="n"/>
    </row>
    <row r="393" ht="15" customHeight="1" s="59">
      <c r="C393" s="90">
        <f>IF(B393="","",IFERROR(VLOOKUP(B393,EQUIPEMENTS!A:B,2,0),""))</f>
        <v/>
      </c>
      <c r="H393" s="91" t="n"/>
      <c r="J393" s="91" t="n"/>
      <c r="M393" s="91" t="n"/>
    </row>
    <row r="394" ht="15" customHeight="1" s="59">
      <c r="C394" s="90">
        <f>IF(B394="","",IFERROR(VLOOKUP(B394,EQUIPEMENTS!A:B,2,0),""))</f>
        <v/>
      </c>
      <c r="H394" s="91" t="n"/>
      <c r="J394" s="91" t="n"/>
      <c r="M394" s="91" t="n"/>
    </row>
    <row r="395" ht="15" customHeight="1" s="59">
      <c r="C395" s="90">
        <f>IF(B395="","",IFERROR(VLOOKUP(B395,EQUIPEMENTS!A:B,2,0),""))</f>
        <v/>
      </c>
      <c r="H395" s="91" t="n"/>
      <c r="J395" s="91" t="n"/>
      <c r="M395" s="91" t="n"/>
    </row>
    <row r="396" ht="15" customHeight="1" s="59">
      <c r="C396" s="90">
        <f>IF(B396="","",IFERROR(VLOOKUP(B396,EQUIPEMENTS!A:B,2,0),""))</f>
        <v/>
      </c>
      <c r="H396" s="91" t="n"/>
      <c r="J396" s="91" t="n"/>
      <c r="M396" s="91" t="n"/>
    </row>
    <row r="397" ht="15" customHeight="1" s="59">
      <c r="C397" s="90">
        <f>IF(B397="","",IFERROR(VLOOKUP(B397,EQUIPEMENTS!A:B,2,0),""))</f>
        <v/>
      </c>
      <c r="H397" s="91" t="n"/>
      <c r="J397" s="91" t="n"/>
      <c r="M397" s="91" t="n"/>
    </row>
    <row r="398" ht="15" customHeight="1" s="59">
      <c r="C398" s="90">
        <f>IF(B398="","",IFERROR(VLOOKUP(B398,EQUIPEMENTS!A:B,2,0),""))</f>
        <v/>
      </c>
      <c r="H398" s="91" t="n"/>
      <c r="J398" s="91" t="n"/>
      <c r="M398" s="91" t="n"/>
    </row>
    <row r="399" ht="15" customHeight="1" s="59">
      <c r="C399" s="90">
        <f>IF(B399="","",IFERROR(VLOOKUP(B399,EQUIPEMENTS!A:B,2,0),""))</f>
        <v/>
      </c>
      <c r="H399" s="91" t="n"/>
      <c r="J399" s="91" t="n"/>
      <c r="M399" s="91" t="n"/>
    </row>
    <row r="400" ht="15" customHeight="1" s="59">
      <c r="C400" s="90">
        <f>IF(B400="","",IFERROR(VLOOKUP(B400,EQUIPEMENTS!A:B,2,0),""))</f>
        <v/>
      </c>
      <c r="H400" s="91" t="n"/>
      <c r="J400" s="91" t="n"/>
      <c r="M400" s="91" t="n"/>
    </row>
    <row r="401" ht="15" customHeight="1" s="59">
      <c r="C401" s="90">
        <f>IF(B401="","",IFERROR(VLOOKUP(B401,EQUIPEMENTS!A:B,2,0),""))</f>
        <v/>
      </c>
      <c r="H401" s="91" t="n"/>
      <c r="J401" s="91" t="n"/>
      <c r="M401" s="91" t="n"/>
    </row>
    <row r="402" ht="15" customHeight="1" s="59">
      <c r="C402" s="90">
        <f>IF(B402="","",IFERROR(VLOOKUP(B402,EQUIPEMENTS!A:B,2,0),""))</f>
        <v/>
      </c>
      <c r="H402" s="91" t="n"/>
      <c r="J402" s="91" t="n"/>
      <c r="M402" s="91" t="n"/>
    </row>
    <row r="403" ht="15" customHeight="1" s="59">
      <c r="C403" s="90">
        <f>IF(B403="","",IFERROR(VLOOKUP(B403,EQUIPEMENTS!A:B,2,0),""))</f>
        <v/>
      </c>
      <c r="H403" s="91" t="n"/>
      <c r="J403" s="91" t="n"/>
      <c r="M403" s="91" t="n"/>
    </row>
    <row r="404" ht="15" customHeight="1" s="59">
      <c r="C404" s="90">
        <f>IF(B404="","",IFERROR(VLOOKUP(B404,EQUIPEMENTS!A:B,2,0),""))</f>
        <v/>
      </c>
      <c r="H404" s="91" t="n"/>
      <c r="J404" s="91" t="n"/>
      <c r="M404" s="91" t="n"/>
    </row>
    <row r="405" ht="15" customHeight="1" s="59">
      <c r="C405" s="90">
        <f>IF(B405="","",IFERROR(VLOOKUP(B405,EQUIPEMENTS!A:B,2,0),""))</f>
        <v/>
      </c>
      <c r="H405" s="91" t="n"/>
      <c r="J405" s="91" t="n"/>
      <c r="M405" s="91" t="n"/>
    </row>
    <row r="406" ht="15" customHeight="1" s="59">
      <c r="C406" s="90">
        <f>IF(B406="","",IFERROR(VLOOKUP(B406,EQUIPEMENTS!A:B,2,0),""))</f>
        <v/>
      </c>
      <c r="H406" s="91" t="n"/>
      <c r="J406" s="91" t="n"/>
      <c r="M406" s="91" t="n"/>
    </row>
    <row r="407" ht="15" customHeight="1" s="59">
      <c r="C407" s="90">
        <f>IF(B407="","",IFERROR(VLOOKUP(B407,EQUIPEMENTS!A:B,2,0),""))</f>
        <v/>
      </c>
      <c r="H407" s="91" t="n"/>
      <c r="J407" s="91" t="n"/>
      <c r="M407" s="91" t="n"/>
    </row>
    <row r="408" ht="15" customHeight="1" s="59">
      <c r="C408" s="90">
        <f>IF(B408="","",IFERROR(VLOOKUP(B408,EQUIPEMENTS!A:B,2,0),""))</f>
        <v/>
      </c>
      <c r="H408" s="91" t="n"/>
      <c r="J408" s="91" t="n"/>
      <c r="M408" s="91" t="n"/>
    </row>
    <row r="409" ht="15" customHeight="1" s="59">
      <c r="C409" s="90">
        <f>IF(B409="","",IFERROR(VLOOKUP(B409,EQUIPEMENTS!A:B,2,0),""))</f>
        <v/>
      </c>
      <c r="H409" s="91" t="n"/>
      <c r="J409" s="91" t="n"/>
      <c r="M409" s="91" t="n"/>
    </row>
    <row r="410" ht="15" customHeight="1" s="59">
      <c r="C410" s="90">
        <f>IF(B410="","",IFERROR(VLOOKUP(B410,EQUIPEMENTS!A:B,2,0),""))</f>
        <v/>
      </c>
      <c r="H410" s="91" t="n"/>
      <c r="J410" s="91" t="n"/>
      <c r="M410" s="91" t="n"/>
    </row>
    <row r="411" ht="15" customHeight="1" s="59">
      <c r="C411" s="90">
        <f>IF(B411="","",IFERROR(VLOOKUP(B411,EQUIPEMENTS!A:B,2,0),""))</f>
        <v/>
      </c>
      <c r="H411" s="91" t="n"/>
      <c r="J411" s="91" t="n"/>
      <c r="M411" s="91" t="n"/>
    </row>
    <row r="412" ht="15" customHeight="1" s="59">
      <c r="C412" s="90">
        <f>IF(B412="","",IFERROR(VLOOKUP(B412,EQUIPEMENTS!A:B,2,0),""))</f>
        <v/>
      </c>
      <c r="H412" s="91" t="n"/>
      <c r="J412" s="91" t="n"/>
      <c r="M412" s="91" t="n"/>
    </row>
    <row r="413" ht="15" customHeight="1" s="59">
      <c r="C413" s="90">
        <f>IF(B413="","",IFERROR(VLOOKUP(B413,EQUIPEMENTS!A:B,2,0),""))</f>
        <v/>
      </c>
      <c r="H413" s="91" t="n"/>
      <c r="J413" s="91" t="n"/>
      <c r="M413" s="91" t="n"/>
    </row>
    <row r="414" ht="15" customHeight="1" s="59">
      <c r="C414" s="90">
        <f>IF(B414="","",IFERROR(VLOOKUP(B414,EQUIPEMENTS!A:B,2,0),""))</f>
        <v/>
      </c>
      <c r="H414" s="91" t="n"/>
      <c r="J414" s="91" t="n"/>
      <c r="M414" s="91" t="n"/>
    </row>
    <row r="415" ht="15" customHeight="1" s="59">
      <c r="C415" s="90">
        <f>IF(B415="","",IFERROR(VLOOKUP(B415,EQUIPEMENTS!A:B,2,0),""))</f>
        <v/>
      </c>
      <c r="H415" s="91" t="n"/>
      <c r="J415" s="91" t="n"/>
      <c r="M415" s="91" t="n"/>
    </row>
    <row r="416" ht="15" customHeight="1" s="59">
      <c r="C416" s="90">
        <f>IF(B416="","",IFERROR(VLOOKUP(B416,EQUIPEMENTS!A:B,2,0),""))</f>
        <v/>
      </c>
      <c r="H416" s="91" t="n"/>
      <c r="J416" s="91" t="n"/>
      <c r="M416" s="91" t="n"/>
    </row>
    <row r="417" ht="15" customHeight="1" s="59">
      <c r="C417" s="90">
        <f>IF(B417="","",IFERROR(VLOOKUP(B417,EQUIPEMENTS!A:B,2,0),""))</f>
        <v/>
      </c>
      <c r="H417" s="91" t="n"/>
      <c r="J417" s="91" t="n"/>
      <c r="M417" s="91" t="n"/>
    </row>
    <row r="418" ht="15" customHeight="1" s="59">
      <c r="C418" s="90">
        <f>IF(B418="","",IFERROR(VLOOKUP(B418,EQUIPEMENTS!A:B,2,0),""))</f>
        <v/>
      </c>
      <c r="H418" s="91" t="n"/>
      <c r="J418" s="91" t="n"/>
      <c r="M418" s="91" t="n"/>
    </row>
    <row r="419" ht="15" customHeight="1" s="59">
      <c r="C419" s="90">
        <f>IF(B419="","",IFERROR(VLOOKUP(B419,EQUIPEMENTS!A:B,2,0),""))</f>
        <v/>
      </c>
      <c r="H419" s="91" t="n"/>
      <c r="J419" s="91" t="n"/>
      <c r="M419" s="91" t="n"/>
    </row>
    <row r="420" ht="15" customHeight="1" s="59">
      <c r="C420" s="90">
        <f>IF(B420="","",IFERROR(VLOOKUP(B420,EQUIPEMENTS!A:B,2,0),""))</f>
        <v/>
      </c>
      <c r="H420" s="91" t="n"/>
      <c r="J420" s="91" t="n"/>
      <c r="M420" s="91" t="n"/>
    </row>
    <row r="421" ht="15" customHeight="1" s="59">
      <c r="C421" s="90">
        <f>IF(B421="","",IFERROR(VLOOKUP(B421,EQUIPEMENTS!A:B,2,0),""))</f>
        <v/>
      </c>
      <c r="H421" s="91" t="n"/>
      <c r="J421" s="91" t="n"/>
      <c r="M421" s="91" t="n"/>
    </row>
    <row r="422" ht="15" customHeight="1" s="59">
      <c r="C422" s="90">
        <f>IF(B422="","",IFERROR(VLOOKUP(B422,EQUIPEMENTS!A:B,2,0),""))</f>
        <v/>
      </c>
      <c r="H422" s="91" t="n"/>
      <c r="J422" s="91" t="n"/>
      <c r="M422" s="91" t="n"/>
    </row>
    <row r="423" ht="15" customHeight="1" s="59">
      <c r="C423" s="90">
        <f>IF(B423="","",IFERROR(VLOOKUP(B423,EQUIPEMENTS!A:B,2,0),""))</f>
        <v/>
      </c>
      <c r="H423" s="91" t="n"/>
      <c r="J423" s="91" t="n"/>
      <c r="M423" s="91" t="n"/>
    </row>
    <row r="424" ht="15" customHeight="1" s="59">
      <c r="C424" s="90">
        <f>IF(B424="","",IFERROR(VLOOKUP(B424,EQUIPEMENTS!A:B,2,0),""))</f>
        <v/>
      </c>
      <c r="H424" s="91" t="n"/>
      <c r="J424" s="91" t="n"/>
      <c r="M424" s="91" t="n"/>
    </row>
    <row r="425" ht="15" customHeight="1" s="59">
      <c r="C425" s="90">
        <f>IF(B425="","",IFERROR(VLOOKUP(B425,EQUIPEMENTS!A:B,2,0),""))</f>
        <v/>
      </c>
      <c r="H425" s="91" t="n"/>
      <c r="J425" s="91" t="n"/>
      <c r="M425" s="91" t="n"/>
    </row>
    <row r="426" ht="15" customHeight="1" s="59">
      <c r="C426" s="90">
        <f>IF(B426="","",IFERROR(VLOOKUP(B426,EQUIPEMENTS!A:B,2,0),""))</f>
        <v/>
      </c>
      <c r="H426" s="91" t="n"/>
      <c r="J426" s="91" t="n"/>
      <c r="M426" s="91" t="n"/>
    </row>
    <row r="427" ht="15" customHeight="1" s="59">
      <c r="C427" s="90">
        <f>IF(B427="","",IFERROR(VLOOKUP(B427,EQUIPEMENTS!A:B,2,0),""))</f>
        <v/>
      </c>
      <c r="H427" s="91" t="n"/>
      <c r="J427" s="91" t="n"/>
      <c r="M427" s="91" t="n"/>
    </row>
    <row r="428" ht="15" customHeight="1" s="59">
      <c r="C428" s="90">
        <f>IF(B428="","",IFERROR(VLOOKUP(B428,EQUIPEMENTS!A:B,2,0),""))</f>
        <v/>
      </c>
      <c r="H428" s="91" t="n"/>
      <c r="J428" s="91" t="n"/>
      <c r="M428" s="91" t="n"/>
    </row>
    <row r="429" ht="15" customHeight="1" s="59">
      <c r="C429" s="90">
        <f>IF(B429="","",IFERROR(VLOOKUP(B429,EQUIPEMENTS!A:B,2,0),""))</f>
        <v/>
      </c>
      <c r="H429" s="91" t="n"/>
      <c r="J429" s="91" t="n"/>
      <c r="M429" s="91" t="n"/>
    </row>
    <row r="430" ht="15" customHeight="1" s="59">
      <c r="C430" s="90">
        <f>IF(B430="","",IFERROR(VLOOKUP(B430,EQUIPEMENTS!A:B,2,0),""))</f>
        <v/>
      </c>
      <c r="H430" s="91" t="n"/>
      <c r="J430" s="91" t="n"/>
      <c r="M430" s="91" t="n"/>
    </row>
    <row r="431" ht="15" customHeight="1" s="59">
      <c r="C431" s="90">
        <f>IF(B431="","",IFERROR(VLOOKUP(B431,EQUIPEMENTS!A:B,2,0),""))</f>
        <v/>
      </c>
      <c r="H431" s="91" t="n"/>
      <c r="J431" s="91" t="n"/>
      <c r="M431" s="91" t="n"/>
    </row>
    <row r="432" ht="15" customHeight="1" s="59">
      <c r="C432" s="90">
        <f>IF(B432="","",IFERROR(VLOOKUP(B432,EQUIPEMENTS!A:B,2,0),""))</f>
        <v/>
      </c>
      <c r="H432" s="91" t="n"/>
      <c r="J432" s="91" t="n"/>
      <c r="M432" s="91" t="n"/>
    </row>
    <row r="433" ht="15" customHeight="1" s="59">
      <c r="C433" s="90">
        <f>IF(B433="","",IFERROR(VLOOKUP(B433,EQUIPEMENTS!A:B,2,0),""))</f>
        <v/>
      </c>
      <c r="H433" s="91" t="n"/>
      <c r="J433" s="91" t="n"/>
      <c r="M433" s="91" t="n"/>
    </row>
    <row r="434" ht="15" customHeight="1" s="59">
      <c r="C434" s="90">
        <f>IF(B434="","",IFERROR(VLOOKUP(B434,EQUIPEMENTS!A:B,2,0),""))</f>
        <v/>
      </c>
      <c r="H434" s="91" t="n"/>
      <c r="J434" s="91" t="n"/>
      <c r="M434" s="91" t="n"/>
    </row>
    <row r="435" ht="15" customHeight="1" s="59">
      <c r="C435" s="90">
        <f>IF(B435="","",IFERROR(VLOOKUP(B435,EQUIPEMENTS!A:B,2,0),""))</f>
        <v/>
      </c>
      <c r="H435" s="91" t="n"/>
      <c r="J435" s="91" t="n"/>
      <c r="M435" s="91" t="n"/>
    </row>
    <row r="436" ht="15" customHeight="1" s="59">
      <c r="C436" s="90">
        <f>IF(B436="","",IFERROR(VLOOKUP(B436,EQUIPEMENTS!A:B,2,0),""))</f>
        <v/>
      </c>
      <c r="H436" s="91" t="n"/>
      <c r="J436" s="91" t="n"/>
      <c r="M436" s="91" t="n"/>
    </row>
    <row r="437" ht="15" customHeight="1" s="59">
      <c r="C437" s="90">
        <f>IF(B437="","",IFERROR(VLOOKUP(B437,EQUIPEMENTS!A:B,2,0),""))</f>
        <v/>
      </c>
      <c r="H437" s="91" t="n"/>
      <c r="J437" s="91" t="n"/>
      <c r="M437" s="91" t="n"/>
    </row>
    <row r="438" ht="15" customHeight="1" s="59">
      <c r="C438" s="90">
        <f>IF(B438="","",IFERROR(VLOOKUP(B438,EQUIPEMENTS!A:B,2,0),""))</f>
        <v/>
      </c>
      <c r="H438" s="91" t="n"/>
      <c r="J438" s="91" t="n"/>
      <c r="M438" s="91" t="n"/>
    </row>
    <row r="439" ht="15" customHeight="1" s="59">
      <c r="C439" s="90">
        <f>IF(B439="","",IFERROR(VLOOKUP(B439,EQUIPEMENTS!A:B,2,0),""))</f>
        <v/>
      </c>
      <c r="H439" s="91" t="n"/>
      <c r="J439" s="91" t="n"/>
      <c r="M439" s="91" t="n"/>
    </row>
    <row r="440" ht="15" customHeight="1" s="59">
      <c r="C440" s="90">
        <f>IF(B440="","",IFERROR(VLOOKUP(B440,EQUIPEMENTS!A:B,2,0),""))</f>
        <v/>
      </c>
      <c r="H440" s="91" t="n"/>
      <c r="J440" s="91" t="n"/>
      <c r="M440" s="91" t="n"/>
    </row>
    <row r="441" ht="15" customHeight="1" s="59">
      <c r="C441" s="90">
        <f>IF(B441="","",IFERROR(VLOOKUP(B441,EQUIPEMENTS!A:B,2,0),""))</f>
        <v/>
      </c>
      <c r="H441" s="91" t="n"/>
      <c r="J441" s="91" t="n"/>
      <c r="M441" s="91" t="n"/>
    </row>
    <row r="442" ht="15" customHeight="1" s="59">
      <c r="C442" s="90">
        <f>IF(B442="","",IFERROR(VLOOKUP(B442,EQUIPEMENTS!A:B,2,0),""))</f>
        <v/>
      </c>
      <c r="H442" s="91" t="n"/>
      <c r="J442" s="91" t="n"/>
      <c r="M442" s="91" t="n"/>
    </row>
    <row r="443" ht="15" customHeight="1" s="59">
      <c r="C443" s="90">
        <f>IF(B443="","",IFERROR(VLOOKUP(B443,EQUIPEMENTS!A:B,2,0),""))</f>
        <v/>
      </c>
      <c r="H443" s="91" t="n"/>
      <c r="J443" s="91" t="n"/>
      <c r="M443" s="91" t="n"/>
    </row>
    <row r="444" ht="15" customHeight="1" s="59">
      <c r="C444" s="90">
        <f>IF(B444="","",IFERROR(VLOOKUP(B444,EQUIPEMENTS!A:B,2,0),""))</f>
        <v/>
      </c>
      <c r="H444" s="91" t="n"/>
      <c r="J444" s="91" t="n"/>
      <c r="M444" s="91" t="n"/>
    </row>
    <row r="445" ht="15" customHeight="1" s="59">
      <c r="C445" s="90">
        <f>IF(B445="","",IFERROR(VLOOKUP(B445,EQUIPEMENTS!A:B,2,0),""))</f>
        <v/>
      </c>
      <c r="H445" s="91" t="n"/>
      <c r="J445" s="91" t="n"/>
      <c r="M445" s="91" t="n"/>
    </row>
    <row r="446" ht="15" customHeight="1" s="59">
      <c r="C446" s="90">
        <f>IF(B446="","",IFERROR(VLOOKUP(B446,EQUIPEMENTS!A:B,2,0),""))</f>
        <v/>
      </c>
      <c r="H446" s="91" t="n"/>
      <c r="J446" s="91" t="n"/>
      <c r="M446" s="91" t="n"/>
    </row>
    <row r="447" ht="15" customHeight="1" s="59">
      <c r="C447" s="90">
        <f>IF(B447="","",IFERROR(VLOOKUP(B447,EQUIPEMENTS!A:B,2,0),""))</f>
        <v/>
      </c>
      <c r="H447" s="91" t="n"/>
      <c r="J447" s="91" t="n"/>
      <c r="M447" s="91" t="n"/>
    </row>
    <row r="448" ht="15" customHeight="1" s="59">
      <c r="C448" s="90">
        <f>IF(B448="","",IFERROR(VLOOKUP(B448,EQUIPEMENTS!A:B,2,0),""))</f>
        <v/>
      </c>
      <c r="H448" s="91" t="n"/>
      <c r="J448" s="91" t="n"/>
      <c r="M448" s="91" t="n"/>
    </row>
    <row r="449" ht="15" customHeight="1" s="59">
      <c r="C449" s="90">
        <f>IF(B449="","",IFERROR(VLOOKUP(B449,EQUIPEMENTS!A:B,2,0),""))</f>
        <v/>
      </c>
      <c r="H449" s="91" t="n"/>
      <c r="J449" s="91" t="n"/>
      <c r="M449" s="91" t="n"/>
    </row>
    <row r="450" ht="15" customHeight="1" s="59">
      <c r="C450" s="90">
        <f>IF(B450="","",IFERROR(VLOOKUP(B450,EQUIPEMENTS!A:B,2,0),""))</f>
        <v/>
      </c>
      <c r="H450" s="91" t="n"/>
      <c r="J450" s="91" t="n"/>
      <c r="M450" s="91" t="n"/>
    </row>
    <row r="451" ht="15" customHeight="1" s="59">
      <c r="C451" s="90">
        <f>IF(B451="","",IFERROR(VLOOKUP(B451,EQUIPEMENTS!A:B,2,0),""))</f>
        <v/>
      </c>
      <c r="H451" s="91" t="n"/>
      <c r="J451" s="91" t="n"/>
      <c r="M451" s="91" t="n"/>
    </row>
    <row r="452" ht="15" customHeight="1" s="59">
      <c r="C452" s="90">
        <f>IF(B452="","",IFERROR(VLOOKUP(B452,EQUIPEMENTS!A:B,2,0),""))</f>
        <v/>
      </c>
      <c r="H452" s="91" t="n"/>
      <c r="J452" s="91" t="n"/>
      <c r="M452" s="91" t="n"/>
    </row>
    <row r="453" ht="15" customHeight="1" s="59">
      <c r="C453" s="90">
        <f>IF(B453="","",IFERROR(VLOOKUP(B453,EQUIPEMENTS!A:B,2,0),""))</f>
        <v/>
      </c>
      <c r="H453" s="91" t="n"/>
      <c r="J453" s="91" t="n"/>
      <c r="M453" s="91" t="n"/>
    </row>
    <row r="454" ht="15" customHeight="1" s="59">
      <c r="C454" s="90">
        <f>IF(B454="","",IFERROR(VLOOKUP(B454,EQUIPEMENTS!A:B,2,0),""))</f>
        <v/>
      </c>
      <c r="H454" s="91" t="n"/>
      <c r="J454" s="91" t="n"/>
      <c r="M454" s="91" t="n"/>
    </row>
    <row r="455" ht="15" customHeight="1" s="59">
      <c r="C455" s="90">
        <f>IF(B455="","",IFERROR(VLOOKUP(B455,EQUIPEMENTS!A:B,2,0),""))</f>
        <v/>
      </c>
      <c r="H455" s="91" t="n"/>
      <c r="J455" s="91" t="n"/>
      <c r="M455" s="91" t="n"/>
    </row>
    <row r="456" ht="15" customHeight="1" s="59">
      <c r="C456" s="90">
        <f>IF(B456="","",IFERROR(VLOOKUP(B456,EQUIPEMENTS!A:B,2,0),""))</f>
        <v/>
      </c>
      <c r="H456" s="91" t="n"/>
      <c r="J456" s="91" t="n"/>
      <c r="M456" s="91" t="n"/>
    </row>
    <row r="457" ht="15" customHeight="1" s="59">
      <c r="C457" s="90">
        <f>IF(B457="","",IFERROR(VLOOKUP(B457,EQUIPEMENTS!A:B,2,0),""))</f>
        <v/>
      </c>
      <c r="H457" s="91" t="n"/>
      <c r="J457" s="91" t="n"/>
      <c r="M457" s="91" t="n"/>
    </row>
    <row r="458" ht="15" customHeight="1" s="59">
      <c r="C458" s="90">
        <f>IF(B458="","",IFERROR(VLOOKUP(B458,EQUIPEMENTS!A:B,2,0),""))</f>
        <v/>
      </c>
      <c r="H458" s="91" t="n"/>
      <c r="J458" s="91" t="n"/>
      <c r="M458" s="91" t="n"/>
    </row>
    <row r="459" ht="15" customHeight="1" s="59">
      <c r="C459" s="90">
        <f>IF(B459="","",IFERROR(VLOOKUP(B459,EQUIPEMENTS!A:B,2,0),""))</f>
        <v/>
      </c>
      <c r="H459" s="91" t="n"/>
      <c r="J459" s="91" t="n"/>
      <c r="M459" s="91" t="n"/>
    </row>
    <row r="460" ht="15" customHeight="1" s="59">
      <c r="C460" s="90">
        <f>IF(B460="","",IFERROR(VLOOKUP(B460,EQUIPEMENTS!A:B,2,0),""))</f>
        <v/>
      </c>
      <c r="H460" s="91" t="n"/>
      <c r="J460" s="91" t="n"/>
      <c r="M460" s="91" t="n"/>
    </row>
    <row r="461" ht="15" customHeight="1" s="59">
      <c r="C461" s="90">
        <f>IF(B461="","",IFERROR(VLOOKUP(B461,EQUIPEMENTS!A:B,2,0),""))</f>
        <v/>
      </c>
      <c r="H461" s="91" t="n"/>
      <c r="J461" s="91" t="n"/>
      <c r="M461" s="91" t="n"/>
    </row>
    <row r="462" ht="15" customHeight="1" s="59">
      <c r="C462" s="90">
        <f>IF(B462="","",IFERROR(VLOOKUP(B462,EQUIPEMENTS!A:B,2,0),""))</f>
        <v/>
      </c>
      <c r="H462" s="91" t="n"/>
      <c r="J462" s="91" t="n"/>
      <c r="M462" s="91" t="n"/>
    </row>
    <row r="463" ht="15" customHeight="1" s="59">
      <c r="C463" s="90">
        <f>IF(B463="","",IFERROR(VLOOKUP(B463,EQUIPEMENTS!A:B,2,0),""))</f>
        <v/>
      </c>
      <c r="H463" s="91" t="n"/>
      <c r="J463" s="91" t="n"/>
      <c r="M463" s="91" t="n"/>
    </row>
    <row r="464" ht="15" customHeight="1" s="59">
      <c r="C464" s="90">
        <f>IF(B464="","",IFERROR(VLOOKUP(B464,EQUIPEMENTS!A:B,2,0),""))</f>
        <v/>
      </c>
      <c r="H464" s="91" t="n"/>
      <c r="J464" s="91" t="n"/>
      <c r="M464" s="91" t="n"/>
    </row>
    <row r="465" ht="15" customHeight="1" s="59">
      <c r="C465" s="90">
        <f>IF(B465="","",IFERROR(VLOOKUP(B465,EQUIPEMENTS!A:B,2,0),""))</f>
        <v/>
      </c>
      <c r="H465" s="91" t="n"/>
      <c r="J465" s="91" t="n"/>
      <c r="M465" s="91" t="n"/>
    </row>
    <row r="466" ht="15" customHeight="1" s="59">
      <c r="C466" s="90">
        <f>IF(B466="","",IFERROR(VLOOKUP(B466,EQUIPEMENTS!A:B,2,0),""))</f>
        <v/>
      </c>
      <c r="H466" s="91" t="n"/>
      <c r="J466" s="91" t="n"/>
      <c r="M466" s="91" t="n"/>
    </row>
    <row r="467" ht="15" customHeight="1" s="59">
      <c r="C467" s="90">
        <f>IF(B467="","",IFERROR(VLOOKUP(B467,EQUIPEMENTS!A:B,2,0),""))</f>
        <v/>
      </c>
      <c r="H467" s="91" t="n"/>
      <c r="J467" s="91" t="n"/>
      <c r="M467" s="91" t="n"/>
    </row>
    <row r="468" ht="15" customHeight="1" s="59">
      <c r="C468" s="90">
        <f>IF(B468="","",IFERROR(VLOOKUP(B468,EQUIPEMENTS!A:B,2,0),""))</f>
        <v/>
      </c>
      <c r="H468" s="91" t="n"/>
      <c r="J468" s="91" t="n"/>
      <c r="M468" s="91" t="n"/>
    </row>
    <row r="469" ht="15" customHeight="1" s="59">
      <c r="C469" s="90">
        <f>IF(B469="","",IFERROR(VLOOKUP(B469,EQUIPEMENTS!A:B,2,0),""))</f>
        <v/>
      </c>
      <c r="H469" s="91" t="n"/>
      <c r="J469" s="91" t="n"/>
      <c r="M469" s="91" t="n"/>
    </row>
    <row r="470" ht="15" customHeight="1" s="59">
      <c r="C470" s="90">
        <f>IF(B470="","",IFERROR(VLOOKUP(B470,EQUIPEMENTS!A:B,2,0),""))</f>
        <v/>
      </c>
      <c r="H470" s="91" t="n"/>
      <c r="J470" s="91" t="n"/>
      <c r="M470" s="91" t="n"/>
    </row>
    <row r="471" ht="15" customHeight="1" s="59">
      <c r="C471" s="90">
        <f>IF(B471="","",IFERROR(VLOOKUP(B471,EQUIPEMENTS!A:B,2,0),""))</f>
        <v/>
      </c>
      <c r="H471" s="91" t="n"/>
      <c r="J471" s="91" t="n"/>
      <c r="M471" s="91" t="n"/>
    </row>
    <row r="472" ht="15" customHeight="1" s="59">
      <c r="C472" s="90">
        <f>IF(B472="","",IFERROR(VLOOKUP(B472,EQUIPEMENTS!A:B,2,0),""))</f>
        <v/>
      </c>
      <c r="H472" s="91" t="n"/>
      <c r="J472" s="91" t="n"/>
      <c r="M472" s="91" t="n"/>
    </row>
    <row r="473" ht="15" customHeight="1" s="59">
      <c r="C473" s="90">
        <f>IF(B473="","",IFERROR(VLOOKUP(B473,EQUIPEMENTS!A:B,2,0),""))</f>
        <v/>
      </c>
      <c r="H473" s="91" t="n"/>
      <c r="J473" s="91" t="n"/>
      <c r="M473" s="91" t="n"/>
    </row>
    <row r="474" ht="15" customHeight="1" s="59">
      <c r="C474" s="90">
        <f>IF(B474="","",IFERROR(VLOOKUP(B474,EQUIPEMENTS!A:B,2,0),""))</f>
        <v/>
      </c>
      <c r="H474" s="91" t="n"/>
      <c r="J474" s="91" t="n"/>
      <c r="M474" s="91" t="n"/>
    </row>
    <row r="475" ht="15" customHeight="1" s="59">
      <c r="C475" s="90">
        <f>IF(B475="","",IFERROR(VLOOKUP(B475,EQUIPEMENTS!A:B,2,0),""))</f>
        <v/>
      </c>
      <c r="H475" s="91" t="n"/>
      <c r="J475" s="91" t="n"/>
      <c r="M475" s="91" t="n"/>
    </row>
    <row r="476" ht="15" customHeight="1" s="59">
      <c r="C476" s="90">
        <f>IF(B476="","",IFERROR(VLOOKUP(B476,EQUIPEMENTS!A:B,2,0),""))</f>
        <v/>
      </c>
      <c r="H476" s="91" t="n"/>
      <c r="J476" s="91" t="n"/>
      <c r="M476" s="91" t="n"/>
    </row>
    <row r="477" ht="15" customHeight="1" s="59">
      <c r="C477" s="90">
        <f>IF(B477="","",IFERROR(VLOOKUP(B477,EQUIPEMENTS!A:B,2,0),""))</f>
        <v/>
      </c>
      <c r="H477" s="91" t="n"/>
      <c r="J477" s="91" t="n"/>
      <c r="M477" s="91" t="n"/>
    </row>
    <row r="478" ht="15" customHeight="1" s="59">
      <c r="C478" s="90">
        <f>IF(B478="","",IFERROR(VLOOKUP(B478,EQUIPEMENTS!A:B,2,0),""))</f>
        <v/>
      </c>
      <c r="H478" s="91" t="n"/>
      <c r="J478" s="91" t="n"/>
      <c r="M478" s="91" t="n"/>
    </row>
    <row r="479" ht="15" customHeight="1" s="59">
      <c r="C479" s="90">
        <f>IF(B479="","",IFERROR(VLOOKUP(B479,EQUIPEMENTS!A:B,2,0),""))</f>
        <v/>
      </c>
      <c r="H479" s="91" t="n"/>
      <c r="J479" s="91" t="n"/>
      <c r="M479" s="91" t="n"/>
    </row>
    <row r="480" ht="15" customHeight="1" s="59">
      <c r="C480" s="90">
        <f>IF(B480="","",IFERROR(VLOOKUP(B480,EQUIPEMENTS!A:B,2,0),""))</f>
        <v/>
      </c>
      <c r="H480" s="91" t="n"/>
      <c r="J480" s="91" t="n"/>
      <c r="M480" s="91" t="n"/>
    </row>
    <row r="481" ht="15" customHeight="1" s="59">
      <c r="C481" s="90">
        <f>IF(B481="","",IFERROR(VLOOKUP(B481,EQUIPEMENTS!A:B,2,0),""))</f>
        <v/>
      </c>
      <c r="H481" s="91" t="n"/>
      <c r="J481" s="91" t="n"/>
      <c r="M481" s="91" t="n"/>
    </row>
    <row r="482" ht="15" customHeight="1" s="59">
      <c r="C482" s="90">
        <f>IF(B482="","",IFERROR(VLOOKUP(B482,EQUIPEMENTS!A:B,2,0),""))</f>
        <v/>
      </c>
      <c r="H482" s="91" t="n"/>
      <c r="J482" s="91" t="n"/>
      <c r="M482" s="91" t="n"/>
    </row>
    <row r="483" ht="15" customHeight="1" s="59">
      <c r="C483" s="90">
        <f>IF(B483="","",IFERROR(VLOOKUP(B483,EQUIPEMENTS!A:B,2,0),""))</f>
        <v/>
      </c>
      <c r="H483" s="91" t="n"/>
      <c r="J483" s="91" t="n"/>
      <c r="M483" s="91" t="n"/>
    </row>
    <row r="484" ht="15" customHeight="1" s="59">
      <c r="C484" s="90">
        <f>IF(B484="","",IFERROR(VLOOKUP(B484,EQUIPEMENTS!A:B,2,0),""))</f>
        <v/>
      </c>
      <c r="H484" s="91" t="n"/>
      <c r="J484" s="91" t="n"/>
      <c r="M484" s="91" t="n"/>
    </row>
    <row r="485" ht="15" customHeight="1" s="59">
      <c r="C485" s="90">
        <f>IF(B485="","",IFERROR(VLOOKUP(B485,EQUIPEMENTS!A:B,2,0),""))</f>
        <v/>
      </c>
      <c r="H485" s="91" t="n"/>
      <c r="J485" s="91" t="n"/>
      <c r="M485" s="91" t="n"/>
    </row>
    <row r="486" ht="15" customHeight="1" s="59">
      <c r="C486" s="90">
        <f>IF(B486="","",IFERROR(VLOOKUP(B486,EQUIPEMENTS!A:B,2,0),""))</f>
        <v/>
      </c>
      <c r="H486" s="91" t="n"/>
      <c r="J486" s="91" t="n"/>
      <c r="M486" s="91" t="n"/>
    </row>
    <row r="487" ht="15" customHeight="1" s="59">
      <c r="C487" s="90">
        <f>IF(B487="","",IFERROR(VLOOKUP(B487,EQUIPEMENTS!A:B,2,0),""))</f>
        <v/>
      </c>
      <c r="H487" s="91" t="n"/>
      <c r="J487" s="91" t="n"/>
      <c r="M487" s="91" t="n"/>
    </row>
    <row r="488" ht="15" customHeight="1" s="59">
      <c r="C488" s="90">
        <f>IF(B488="","",IFERROR(VLOOKUP(B488,EQUIPEMENTS!A:B,2,0),""))</f>
        <v/>
      </c>
      <c r="H488" s="91" t="n"/>
      <c r="J488" s="91" t="n"/>
      <c r="M488" s="91" t="n"/>
    </row>
    <row r="489" ht="15" customHeight="1" s="59">
      <c r="C489" s="90">
        <f>IF(B489="","",IFERROR(VLOOKUP(B489,EQUIPEMENTS!A:B,2,0),""))</f>
        <v/>
      </c>
      <c r="H489" s="91" t="n"/>
      <c r="J489" s="91" t="n"/>
      <c r="M489" s="91" t="n"/>
    </row>
    <row r="490" ht="15" customHeight="1" s="59">
      <c r="C490" s="90">
        <f>IF(B490="","",IFERROR(VLOOKUP(B490,EQUIPEMENTS!A:B,2,0),""))</f>
        <v/>
      </c>
      <c r="H490" s="91" t="n"/>
      <c r="J490" s="91" t="n"/>
      <c r="M490" s="91" t="n"/>
    </row>
    <row r="491" ht="15" customHeight="1" s="59">
      <c r="C491" s="90">
        <f>IF(B491="","",IFERROR(VLOOKUP(B491,EQUIPEMENTS!A:B,2,0),""))</f>
        <v/>
      </c>
      <c r="H491" s="91" t="n"/>
      <c r="J491" s="91" t="n"/>
      <c r="M491" s="91" t="n"/>
    </row>
    <row r="492" ht="15" customHeight="1" s="59">
      <c r="C492" s="90">
        <f>IF(B492="","",IFERROR(VLOOKUP(B492,EQUIPEMENTS!A:B,2,0),""))</f>
        <v/>
      </c>
      <c r="H492" s="91" t="n"/>
      <c r="J492" s="91" t="n"/>
      <c r="M492" s="91" t="n"/>
    </row>
    <row r="493" ht="15" customHeight="1" s="59">
      <c r="C493" s="90">
        <f>IF(B493="","",IFERROR(VLOOKUP(B493,EQUIPEMENTS!A:B,2,0),""))</f>
        <v/>
      </c>
      <c r="H493" s="91" t="n"/>
      <c r="J493" s="91" t="n"/>
      <c r="M493" s="91" t="n"/>
    </row>
    <row r="494" ht="15" customHeight="1" s="59">
      <c r="C494" s="90">
        <f>IF(B494="","",IFERROR(VLOOKUP(B494,EQUIPEMENTS!A:B,2,0),""))</f>
        <v/>
      </c>
      <c r="H494" s="91" t="n"/>
      <c r="J494" s="91" t="n"/>
      <c r="M494" s="91" t="n"/>
    </row>
    <row r="495" ht="15" customHeight="1" s="59">
      <c r="C495" s="90">
        <f>IF(B495="","",IFERROR(VLOOKUP(B495,EQUIPEMENTS!A:B,2,0),""))</f>
        <v/>
      </c>
      <c r="H495" s="91" t="n"/>
      <c r="J495" s="91" t="n"/>
      <c r="M495" s="91" t="n"/>
    </row>
    <row r="496" ht="15" customHeight="1" s="59">
      <c r="C496" s="90">
        <f>IF(B496="","",IFERROR(VLOOKUP(B496,EQUIPEMENTS!A:B,2,0),""))</f>
        <v/>
      </c>
      <c r="H496" s="91" t="n"/>
      <c r="J496" s="91" t="n"/>
      <c r="M496" s="91" t="n"/>
    </row>
    <row r="497" ht="15" customHeight="1" s="59">
      <c r="C497" s="90">
        <f>IF(B497="","",IFERROR(VLOOKUP(B497,EQUIPEMENTS!A:B,2,0),""))</f>
        <v/>
      </c>
      <c r="H497" s="91" t="n"/>
      <c r="J497" s="91" t="n"/>
      <c r="M497" s="91" t="n"/>
    </row>
    <row r="498" ht="15" customHeight="1" s="59">
      <c r="C498" s="90">
        <f>IF(B498="","",IFERROR(VLOOKUP(B498,EQUIPEMENTS!A:B,2,0),""))</f>
        <v/>
      </c>
      <c r="H498" s="91" t="n"/>
      <c r="J498" s="91" t="n"/>
      <c r="M498" s="91" t="n"/>
    </row>
    <row r="499" ht="15" customHeight="1" s="59">
      <c r="C499" s="90">
        <f>IF(B499="","",IFERROR(VLOOKUP(B499,EQUIPEMENTS!A:B,2,0),""))</f>
        <v/>
      </c>
      <c r="H499" s="91" t="n"/>
      <c r="J499" s="91" t="n"/>
      <c r="M499" s="91" t="n"/>
    </row>
    <row r="500" ht="15" customHeight="1" s="59">
      <c r="C500" s="90">
        <f>IF(B500="","",IFERROR(VLOOKUP(B500,EQUIPEMENTS!A:B,2,0),""))</f>
        <v/>
      </c>
      <c r="H500" s="91" t="n"/>
      <c r="J500" s="91" t="n"/>
      <c r="M500" s="91" t="n"/>
    </row>
  </sheetData>
  <autoFilter ref="A1:P1"/>
  <conditionalFormatting sqref="A2:P500">
    <cfRule type="expression" rank="0" priority="2" equalAverage="0" aboveAverage="0" dxfId="2" text="" percent="0" bottom="0">
      <formula>$G2="Défectueux"</formula>
    </cfRule>
    <cfRule type="expression" rank="0" priority="3" equalAverage="0" aboveAverage="0" dxfId="3" text="" percent="0" bottom="0">
      <formula>$G2="Commandé"</formula>
    </cfRule>
  </conditionalFormatting>
  <dataValidations count="7">
    <dataValidation sqref="B2:B500" showDropDown="0" showInputMessage="0" showErrorMessage="0" allowBlank="1" type="list" errorStyle="stop" operator="between">
      <formula1>EQUIPEMENTS!$A$2:$A$500</formula1>
      <formula2>0</formula2>
    </dataValidation>
    <dataValidation sqref="E2:E500" showDropDown="0" showInputMessage="0" showErrorMessage="0" allowBlank="1" type="list" errorStyle="stop" operator="between">
      <formula1>LISTES!$N$2:$N$19</formula1>
      <formula2>0</formula2>
    </dataValidation>
    <dataValidation sqref="G2:G500" showDropDown="0" showInputMessage="0" showErrorMessage="0" allowBlank="1" type="list" errorStyle="stop" operator="between">
      <formula1>LISTES!$M$2:$M$6</formula1>
      <formula2>0</formula2>
    </dataValidation>
    <dataValidation sqref="O2:O500" showDropDown="0" showInputMessage="0" showErrorMessage="0" allowBlank="1" type="list" errorStyle="stop" operator="between">
      <formula1>PACKAGES!$A$2:$A$200</formula1>
      <formula2>0</formula2>
    </dataValidation>
    <dataValidation sqref="K2:K500" showDropDown="0" showInputMessage="0" showErrorMessage="0" allowBlank="1" type="list" errorStyle="stop" operator="between">
      <formula1>FOURNISSEURS!$A$2:$A$200</formula1>
      <formula2>0</formula2>
    </dataValidation>
    <dataValidation sqref="N2:N500" showDropDown="0" showInputMessage="0" showErrorMessage="0" allowBlank="1" type="list" errorStyle="stop" operator="between">
      <formula1>TECHNICIENS!$A$2:$A$200</formula1>
      <formula2>0</formula2>
    </dataValidation>
    <dataValidation sqref="I2:I500" showDropDown="0" showInputMessage="0" showErrorMessage="0" allowBlank="1" type="list" errorStyle="stop" operator="between">
      <formula1>"Aucune,Remplacement,Commande en cours,Réparation sur site,Retour fabricant"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tabColor rgb="FFCCCCCC"/>
    <outlinePr summaryBelow="1" summaryRight="1"/>
    <pageSetUpPr fitToPage="0"/>
  </sheetPr>
  <dimension ref="A1:P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59">
      <c r="A1" s="92" t="inlineStr">
        <is>
          <t>Criticite</t>
        </is>
      </c>
      <c r="B1" s="92" t="inlineStr">
        <is>
          <t>Etat_Equip</t>
        </is>
      </c>
      <c r="C1" s="92" t="inlineStr">
        <is>
          <t>Type_Intervention</t>
        </is>
      </c>
      <c r="D1" s="92" t="inlineStr">
        <is>
          <t>Statut_Intervention</t>
        </is>
      </c>
      <c r="E1" s="92" t="inlineStr">
        <is>
          <t>Statut_MP</t>
        </is>
      </c>
      <c r="F1" s="92" t="inlineStr">
        <is>
          <t>Type_MP</t>
        </is>
      </c>
      <c r="G1" s="92" t="inlineStr">
        <is>
          <t>Categorie_Equip</t>
        </is>
      </c>
      <c r="H1" s="92" t="inlineStr">
        <is>
          <t>Service</t>
        </is>
      </c>
      <c r="I1" s="92" t="inlineStr">
        <is>
          <t>Periodicite</t>
        </is>
      </c>
      <c r="J1" s="92" t="inlineStr">
        <is>
          <t>Type_Fournisseur</t>
        </is>
      </c>
      <c r="K1" s="92" t="inlineStr">
        <is>
          <t>Categorie_Piece</t>
        </is>
      </c>
      <c r="L1" s="92" t="inlineStr">
        <is>
          <t>Niveau_Qualification</t>
        </is>
      </c>
      <c r="M1" s="92" t="inlineStr">
        <is>
          <t>Statut_Composant</t>
        </is>
      </c>
      <c r="N1" s="92" t="inlineStr">
        <is>
          <t>Type_Composant</t>
        </is>
      </c>
      <c r="O1" s="92" t="inlineStr">
        <is>
          <t>OuiNon</t>
        </is>
      </c>
      <c r="P1" s="92" t="inlineStr">
        <is>
          <t>Priorite</t>
        </is>
      </c>
    </row>
    <row r="2" ht="15" customHeight="1" s="59">
      <c r="A2" s="58" t="inlineStr">
        <is>
          <t>Haute</t>
        </is>
      </c>
      <c r="B2" s="58" t="inlineStr">
        <is>
          <t>En service</t>
        </is>
      </c>
      <c r="C2" s="58" t="inlineStr">
        <is>
          <t>Corrective</t>
        </is>
      </c>
      <c r="D2" s="58" t="inlineStr">
        <is>
          <t>Ouverte</t>
        </is>
      </c>
      <c r="E2" s="58" t="inlineStr">
        <is>
          <t>Planifiée</t>
        </is>
      </c>
      <c r="F2" s="58" t="inlineStr">
        <is>
          <t>Annuelle</t>
        </is>
      </c>
      <c r="G2" s="58" t="inlineStr">
        <is>
          <t>Monitoring</t>
        </is>
      </c>
      <c r="H2" s="58" t="inlineStr">
        <is>
          <t>Réanimation</t>
        </is>
      </c>
      <c r="I2" s="58" t="inlineStr">
        <is>
          <t>1</t>
        </is>
      </c>
      <c r="J2" s="58" t="inlineStr">
        <is>
          <t>Fourniture équipement</t>
        </is>
      </c>
      <c r="K2" s="58" t="inlineStr">
        <is>
          <t>Batterie</t>
        </is>
      </c>
      <c r="L2" s="58" t="inlineStr">
        <is>
          <t>Niveau 1 - Débutant</t>
        </is>
      </c>
      <c r="M2" s="58" t="inlineStr">
        <is>
          <t>Fonctionnel</t>
        </is>
      </c>
      <c r="N2" s="58" t="inlineStr">
        <is>
          <t>Batterie</t>
        </is>
      </c>
      <c r="O2" s="58" t="inlineStr">
        <is>
          <t>Oui</t>
        </is>
      </c>
      <c r="P2" s="58" t="inlineStr">
        <is>
          <t>Critique</t>
        </is>
      </c>
    </row>
    <row r="3" ht="15" customHeight="1" s="59">
      <c r="A3" s="58" t="inlineStr">
        <is>
          <t>Moyenne</t>
        </is>
      </c>
      <c r="B3" s="58" t="inlineStr">
        <is>
          <t>En panne</t>
        </is>
      </c>
      <c r="C3" s="58" t="inlineStr">
        <is>
          <t>Préventive</t>
        </is>
      </c>
      <c r="D3" s="58" t="inlineStr">
        <is>
          <t>En cours</t>
        </is>
      </c>
      <c r="E3" s="58" t="inlineStr">
        <is>
          <t>En cours</t>
        </is>
      </c>
      <c r="F3" s="58" t="inlineStr">
        <is>
          <t>Semestrielle</t>
        </is>
      </c>
      <c r="G3" s="58" t="inlineStr">
        <is>
          <t>Imagerie</t>
        </is>
      </c>
      <c r="H3" s="58" t="inlineStr">
        <is>
          <t>Urgences</t>
        </is>
      </c>
      <c r="I3" s="58" t="inlineStr">
        <is>
          <t>3</t>
        </is>
      </c>
      <c r="J3" s="58" t="inlineStr">
        <is>
          <t>Maintenance externe</t>
        </is>
      </c>
      <c r="K3" s="58" t="inlineStr">
        <is>
          <t>Filtre</t>
        </is>
      </c>
      <c r="L3" s="58" t="inlineStr">
        <is>
          <t>Niveau 2 - Technicien</t>
        </is>
      </c>
      <c r="M3" s="58" t="inlineStr">
        <is>
          <t>Défectueux</t>
        </is>
      </c>
      <c r="N3" s="58" t="inlineStr">
        <is>
          <t>Écran/dalle</t>
        </is>
      </c>
      <c r="O3" s="58" t="inlineStr">
        <is>
          <t>Non</t>
        </is>
      </c>
      <c r="P3" s="58" t="inlineStr">
        <is>
          <t>Haute</t>
        </is>
      </c>
    </row>
    <row r="4" ht="15" customHeight="1" s="59">
      <c r="A4" s="58" t="inlineStr">
        <is>
          <t>Basse</t>
        </is>
      </c>
      <c r="B4" s="58" t="inlineStr">
        <is>
          <t>En maintenance</t>
        </is>
      </c>
      <c r="C4" s="58" t="inlineStr">
        <is>
          <t>Contrôle</t>
        </is>
      </c>
      <c r="D4" s="58" t="inlineStr">
        <is>
          <t>Clôturée</t>
        </is>
      </c>
      <c r="E4" s="58" t="inlineStr">
        <is>
          <t>Réalisée</t>
        </is>
      </c>
      <c r="F4" s="58" t="inlineStr">
        <is>
          <t>Trimestrielle</t>
        </is>
      </c>
      <c r="G4" s="58" t="inlineStr">
        <is>
          <t>Bloc opératoire</t>
        </is>
      </c>
      <c r="H4" s="58" t="inlineStr">
        <is>
          <t>Bloc opératoire</t>
        </is>
      </c>
      <c r="I4" s="58" t="inlineStr">
        <is>
          <t>6</t>
        </is>
      </c>
      <c r="J4" s="58" t="inlineStr">
        <is>
          <t>Calibration</t>
        </is>
      </c>
      <c r="K4" s="58" t="inlineStr">
        <is>
          <t>Capteur</t>
        </is>
      </c>
      <c r="L4" s="58" t="inlineStr">
        <is>
          <t>Niveau 3 - Expert</t>
        </is>
      </c>
      <c r="M4" s="58" t="inlineStr">
        <is>
          <t>Remplacé</t>
        </is>
      </c>
      <c r="N4" s="58" t="inlineStr">
        <is>
          <t>Clavier</t>
        </is>
      </c>
      <c r="P4" s="58" t="inlineStr">
        <is>
          <t>Normale</t>
        </is>
      </c>
    </row>
    <row r="5" ht="15" customHeight="1" s="59">
      <c r="B5" s="58" t="inlineStr">
        <is>
          <t>Hors service</t>
        </is>
      </c>
      <c r="C5" s="58" t="inlineStr">
        <is>
          <t>Installation</t>
        </is>
      </c>
      <c r="D5" s="58" t="inlineStr">
        <is>
          <t>Non résolue</t>
        </is>
      </c>
      <c r="E5" s="58" t="inlineStr">
        <is>
          <t>Reportée</t>
        </is>
      </c>
      <c r="F5" s="58" t="inlineStr">
        <is>
          <t>Contrôle sécurité électrique</t>
        </is>
      </c>
      <c r="G5" s="58" t="inlineStr">
        <is>
          <t>Laboratoire</t>
        </is>
      </c>
      <c r="H5" s="58" t="inlineStr">
        <is>
          <t>Maternité</t>
        </is>
      </c>
      <c r="I5" s="58" t="inlineStr">
        <is>
          <t>12</t>
        </is>
      </c>
      <c r="J5" s="58" t="inlineStr">
        <is>
          <t>Fourniture consommables</t>
        </is>
      </c>
      <c r="K5" s="58" t="inlineStr">
        <is>
          <t>Câble</t>
        </is>
      </c>
      <c r="L5" s="58" t="inlineStr">
        <is>
          <t>Niveau 4 - Ingénieur</t>
        </is>
      </c>
      <c r="M5" s="58" t="inlineStr">
        <is>
          <t>Commandé</t>
        </is>
      </c>
      <c r="N5" s="58" t="inlineStr">
        <is>
          <t>Alimentation externe</t>
        </is>
      </c>
      <c r="P5" s="58" t="inlineStr">
        <is>
          <t>Basse</t>
        </is>
      </c>
    </row>
    <row r="6" ht="15" customHeight="1" s="59">
      <c r="B6" s="58" t="inlineStr">
        <is>
          <t>Mis au rebut</t>
        </is>
      </c>
      <c r="C6" s="58" t="inlineStr">
        <is>
          <t>Mise au rebut</t>
        </is>
      </c>
      <c r="E6" s="58" t="inlineStr">
        <is>
          <t>Annulée</t>
        </is>
      </c>
      <c r="F6" s="58" t="inlineStr">
        <is>
          <t>Calibrage</t>
        </is>
      </c>
      <c r="G6" s="58" t="inlineStr">
        <is>
          <t>Stérilisation</t>
        </is>
      </c>
      <c r="H6" s="58" t="inlineStr">
        <is>
          <t>Laboratoire</t>
        </is>
      </c>
      <c r="I6" s="58" t="inlineStr">
        <is>
          <t>24</t>
        </is>
      </c>
      <c r="J6" s="58" t="inlineStr">
        <is>
          <t>Prestataire informatique</t>
        </is>
      </c>
      <c r="K6" s="58" t="inlineStr">
        <is>
          <t>Écran/dalle</t>
        </is>
      </c>
      <c r="M6" s="58" t="inlineStr">
        <is>
          <t>En attente</t>
        </is>
      </c>
      <c r="N6" s="58" t="inlineStr">
        <is>
          <t>Dock/Station d'accueil</t>
        </is>
      </c>
    </row>
    <row r="7" ht="15" customHeight="1" s="59">
      <c r="F7" s="58" t="inlineStr">
        <is>
          <t>Nettoyage</t>
        </is>
      </c>
      <c r="G7" s="58" t="inlineStr">
        <is>
          <t>Informatique</t>
        </is>
      </c>
      <c r="H7" s="58" t="inlineStr">
        <is>
          <t>Radiologie</t>
        </is>
      </c>
      <c r="J7" s="58" t="inlineStr">
        <is>
          <t>Autre</t>
        </is>
      </c>
      <c r="K7" s="58" t="inlineStr">
        <is>
          <t>Clavier</t>
        </is>
      </c>
      <c r="N7" s="58" t="inlineStr">
        <is>
          <t>Carte mère</t>
        </is>
      </c>
    </row>
    <row r="8" ht="15" customHeight="1" s="59">
      <c r="F8" s="58" t="inlineStr">
        <is>
          <t>Vérification</t>
        </is>
      </c>
      <c r="G8" s="58" t="inlineStr">
        <is>
          <t>Electroménager</t>
        </is>
      </c>
      <c r="H8" s="58" t="inlineStr">
        <is>
          <t>Informatique/DSI</t>
        </is>
      </c>
      <c r="K8" s="58" t="inlineStr">
        <is>
          <t>Alimentation</t>
        </is>
      </c>
      <c r="N8" s="58" t="inlineStr">
        <is>
          <t>CPU/Processeur</t>
        </is>
      </c>
    </row>
    <row r="9" ht="15" customHeight="1" s="59">
      <c r="G9" s="58" t="inlineStr">
        <is>
          <t>Autre</t>
        </is>
      </c>
      <c r="H9" s="58" t="inlineStr">
        <is>
          <t>Administration</t>
        </is>
      </c>
      <c r="K9" s="58" t="inlineStr">
        <is>
          <t>Carte électronique</t>
        </is>
      </c>
      <c r="N9" s="58" t="inlineStr">
        <is>
          <t>Port USB</t>
        </is>
      </c>
    </row>
    <row r="10" ht="15" customHeight="1" s="59">
      <c r="H10" s="58" t="inlineStr">
        <is>
          <t>Autre</t>
        </is>
      </c>
      <c r="K10" s="58" t="inlineStr">
        <is>
          <t>Mécanique</t>
        </is>
      </c>
      <c r="N10" s="58" t="inlineStr">
        <is>
          <t>Connecteur réseau</t>
        </is>
      </c>
    </row>
    <row r="11" ht="15" customHeight="1" s="59">
      <c r="K11" s="58" t="inlineStr">
        <is>
          <t>Autre</t>
        </is>
      </c>
      <c r="N11" s="58" t="inlineStr">
        <is>
          <t>Ventilateur</t>
        </is>
      </c>
    </row>
    <row r="12" ht="15" customHeight="1" s="59">
      <c r="N12" s="58" t="inlineStr">
        <is>
          <t>Disque dur/SSD</t>
        </is>
      </c>
    </row>
    <row r="13" ht="15" customHeight="1" s="59">
      <c r="N13" s="58" t="inlineStr">
        <is>
          <t>Mémoire RAM</t>
        </is>
      </c>
    </row>
    <row r="14" ht="15" customHeight="1" s="59">
      <c r="N14" s="58" t="inlineStr">
        <is>
          <t>Carte graphique</t>
        </is>
      </c>
    </row>
    <row r="15" ht="15" customHeight="1" s="59">
      <c r="N15" s="58" t="inlineStr">
        <is>
          <t>Webcam</t>
        </is>
      </c>
    </row>
    <row r="16" ht="15" customHeight="1" s="59">
      <c r="N16" s="58" t="inlineStr">
        <is>
          <t>Capteur</t>
        </is>
      </c>
    </row>
    <row r="17" ht="15" customHeight="1" s="59">
      <c r="N17" s="58" t="inlineStr">
        <is>
          <t>Filtre</t>
        </is>
      </c>
    </row>
    <row r="18" ht="15" customHeight="1" s="59">
      <c r="N18" s="58" t="inlineStr">
        <is>
          <t>Module radio/WiFi</t>
        </is>
      </c>
    </row>
    <row r="19" ht="15" customHeight="1" s="59">
      <c r="N19" s="58" t="inlineStr">
        <is>
          <t>Autre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U5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58" min="1" max="1"/>
    <col width="30" customWidth="1" style="58" min="2" max="2"/>
    <col width="20" customWidth="1" style="58" min="3" max="3"/>
    <col width="14" customWidth="1" style="58" min="4" max="4"/>
    <col width="20" customWidth="1" style="58" min="5" max="5"/>
    <col width="22" customWidth="1" style="58" min="6" max="6"/>
    <col width="16" customWidth="1" style="58" min="7" max="7"/>
    <col width="20" customWidth="1" style="58" min="8" max="8"/>
    <col width="18" customWidth="1" style="58" min="9" max="9"/>
    <col width="16" customWidth="1" style="58" min="10" max="10"/>
    <col width="20" customWidth="1" style="58" min="11" max="11"/>
    <col width="14" customWidth="1" style="58" min="12" max="12"/>
    <col width="18" customWidth="1" style="58" min="13" max="15"/>
    <col width="14" customWidth="1" style="58" min="16" max="16"/>
    <col width="18" customWidth="1" style="58" min="17" max="18"/>
    <col width="16" customWidth="1" style="58" min="19" max="19"/>
    <col width="18" customWidth="1" style="58" min="20" max="20"/>
    <col width="35" customWidth="1" style="58" min="21" max="21"/>
  </cols>
  <sheetData>
    <row r="1" ht="27.75" customHeight="1" s="59">
      <c r="A1" s="93" t="inlineStr">
        <is>
          <t>Code_Equipement</t>
        </is>
      </c>
      <c r="B1" s="93" t="inlineStr">
        <is>
          <t>Designation</t>
        </is>
      </c>
      <c r="C1" s="93" t="inlineStr">
        <is>
          <t>Categorie</t>
        </is>
      </c>
      <c r="D1" s="93" t="inlineStr">
        <is>
          <t>Criticite</t>
        </is>
      </c>
      <c r="E1" s="93" t="inlineStr">
        <is>
          <t>Service</t>
        </is>
      </c>
      <c r="F1" s="93" t="inlineStr">
        <is>
          <t>Localisation</t>
        </is>
      </c>
      <c r="G1" s="93" t="inlineStr">
        <is>
          <t>Marque</t>
        </is>
      </c>
      <c r="H1" s="93" t="inlineStr">
        <is>
          <t>Modele</t>
        </is>
      </c>
      <c r="I1" s="93" t="inlineStr">
        <is>
          <t>N_Serie</t>
        </is>
      </c>
      <c r="J1" s="93" t="inlineStr">
        <is>
          <t>Date_Acquisition</t>
        </is>
      </c>
      <c r="K1" s="93" t="inlineStr">
        <is>
          <t>Fournisseur</t>
        </is>
      </c>
      <c r="L1" s="93" t="inlineStr">
        <is>
          <t>Garantie_Fin</t>
        </is>
      </c>
      <c r="M1" s="93" t="inlineStr">
        <is>
          <t>Etat</t>
        </is>
      </c>
      <c r="N1" s="93" t="inlineStr">
        <is>
          <t>Date_Derniere_Maintenance</t>
        </is>
      </c>
      <c r="O1" s="93" t="inlineStr">
        <is>
          <t>Prochaine_Maintenance</t>
        </is>
      </c>
      <c r="P1" s="93" t="inlineStr">
        <is>
          <t>Periodicite_Mois</t>
        </is>
      </c>
      <c r="Q1" s="93" t="inlineStr">
        <is>
          <t>Technicien_Referent</t>
        </is>
      </c>
      <c r="R1" s="83" t="inlineStr">
        <is>
          <t>Code_Package</t>
        </is>
      </c>
      <c r="S1" s="83" t="inlineStr">
        <is>
          <t>Nb_Composants</t>
        </is>
      </c>
      <c r="T1" s="83" t="inlineStr">
        <is>
          <t>Composant_Defectueux</t>
        </is>
      </c>
      <c r="U1" s="93" t="inlineStr">
        <is>
          <t>Observation</t>
        </is>
      </c>
    </row>
    <row r="2" ht="19.5" customHeight="1" s="59">
      <c r="A2" s="84" t="inlineStr">
        <is>
          <t>EQ0001</t>
        </is>
      </c>
      <c r="B2" s="84" t="inlineStr">
        <is>
          <t>Monitor multiparamétrique</t>
        </is>
      </c>
      <c r="C2" s="84" t="inlineStr">
        <is>
          <t>Monitoring</t>
        </is>
      </c>
      <c r="D2" s="84" t="inlineStr">
        <is>
          <t>Haute</t>
        </is>
      </c>
      <c r="E2" s="84" t="inlineStr">
        <is>
          <t>Réanimation</t>
        </is>
      </c>
      <c r="F2" s="84" t="inlineStr">
        <is>
          <t>Bâtiment A - Salle 12</t>
        </is>
      </c>
      <c r="G2" s="84" t="inlineStr">
        <is>
          <t>Philips</t>
        </is>
      </c>
      <c r="H2" s="84" t="inlineStr">
        <is>
          <t>IntelliVue MX40</t>
        </is>
      </c>
      <c r="I2" s="84" t="inlineStr">
        <is>
          <t>SN001234</t>
        </is>
      </c>
      <c r="J2" s="86" t="inlineStr">
        <is>
          <t>2022-03-15</t>
        </is>
      </c>
      <c r="K2" s="84" t="inlineStr">
        <is>
          <t>FOUR001</t>
        </is>
      </c>
      <c r="L2" s="86" t="inlineStr">
        <is>
          <t>2025-03-15</t>
        </is>
      </c>
      <c r="M2" s="84" t="inlineStr">
        <is>
          <t>En service</t>
        </is>
      </c>
      <c r="N2" s="86" t="inlineStr">
        <is>
          <t>2025-01-10</t>
        </is>
      </c>
      <c r="O2" s="86" t="inlineStr">
        <is>
          <t>2025-07-10</t>
        </is>
      </c>
      <c r="P2" s="84" t="inlineStr">
        <is>
          <t>6</t>
        </is>
      </c>
      <c r="Q2" s="84" t="inlineStr">
        <is>
          <t>TECH01</t>
        </is>
      </c>
      <c r="R2" s="84" t="n"/>
      <c r="S2" s="94">
        <f>COUNTIF(COMPOSANTS!B:B,A2)</f>
        <v/>
      </c>
      <c r="T2" s="94">
        <f>COUNTIFS(COMPOSANTS!B:B,A2,COMPOSANTS!G:G,"Défectueux")</f>
        <v/>
      </c>
      <c r="U2" s="84" t="inlineStr">
        <is>
          <t>Vérification électrique annuelle OK</t>
        </is>
      </c>
    </row>
    <row r="3" ht="19.5" customHeight="1" s="59">
      <c r="A3" s="87" t="inlineStr">
        <is>
          <t>EQ0002</t>
        </is>
      </c>
      <c r="B3" s="87" t="inlineStr">
        <is>
          <t>Concentrateur oxygène</t>
        </is>
      </c>
      <c r="C3" s="87" t="inlineStr">
        <is>
          <t>Bloc opératoire</t>
        </is>
      </c>
      <c r="D3" s="87" t="inlineStr">
        <is>
          <t>Haute</t>
        </is>
      </c>
      <c r="E3" s="87" t="inlineStr">
        <is>
          <t>Bloc opératoire</t>
        </is>
      </c>
      <c r="F3" s="87" t="inlineStr">
        <is>
          <t>Bâtiment B - Bloc 2</t>
        </is>
      </c>
      <c r="G3" s="87" t="inlineStr">
        <is>
          <t>Invacare</t>
        </is>
      </c>
      <c r="H3" s="87" t="inlineStr">
        <is>
          <t>Perfecto2</t>
        </is>
      </c>
      <c r="I3" s="87" t="inlineStr">
        <is>
          <t>SN005678</t>
        </is>
      </c>
      <c r="J3" s="89" t="inlineStr">
        <is>
          <t>2021-06-01</t>
        </is>
      </c>
      <c r="K3" s="87" t="inlineStr">
        <is>
          <t>FOUR002</t>
        </is>
      </c>
      <c r="L3" s="89" t="inlineStr">
        <is>
          <t>2024-06-01</t>
        </is>
      </c>
      <c r="M3" s="87" t="inlineStr">
        <is>
          <t>En panne</t>
        </is>
      </c>
      <c r="N3" s="89" t="inlineStr">
        <is>
          <t>2024-12-01</t>
        </is>
      </c>
      <c r="O3" s="89" t="inlineStr">
        <is>
          <t>2025-06-01</t>
        </is>
      </c>
      <c r="P3" s="87" t="inlineStr">
        <is>
          <t>6</t>
        </is>
      </c>
      <c r="Q3" s="87" t="inlineStr">
        <is>
          <t>TECH02</t>
        </is>
      </c>
      <c r="R3" s="87" t="n"/>
      <c r="S3" s="95">
        <f>COUNTIF(COMPOSANTS!B:B,A3)</f>
        <v/>
      </c>
      <c r="T3" s="95">
        <f>COUNTIFS(COMPOSANTS!B:B,A3,COMPOSANTS!G:G,"Défectueux")</f>
        <v/>
      </c>
      <c r="U3" s="87" t="inlineStr">
        <is>
          <t>Filtre principal encrassé - commande en cours</t>
        </is>
      </c>
    </row>
    <row r="4" ht="19.5" customHeight="1" s="59">
      <c r="A4" s="84" t="inlineStr">
        <is>
          <t>EQ0003</t>
        </is>
      </c>
      <c r="B4" s="84" t="inlineStr">
        <is>
          <t>Ordi portable HP</t>
        </is>
      </c>
      <c r="C4" s="84" t="inlineStr">
        <is>
          <t>Informatique</t>
        </is>
      </c>
      <c r="D4" s="84" t="inlineStr">
        <is>
          <t>Moyenne</t>
        </is>
      </c>
      <c r="E4" s="84" t="inlineStr">
        <is>
          <t>Informatique/DSI</t>
        </is>
      </c>
      <c r="F4" s="84" t="inlineStr">
        <is>
          <t>Bâtiment C - Bureau 5</t>
        </is>
      </c>
      <c r="G4" s="84" t="inlineStr">
        <is>
          <t>HP</t>
        </is>
      </c>
      <c r="H4" s="84" t="inlineStr">
        <is>
          <t>EliteBook 840</t>
        </is>
      </c>
      <c r="I4" s="84" t="inlineStr">
        <is>
          <t>SN009012</t>
        </is>
      </c>
      <c r="J4" s="86" t="inlineStr">
        <is>
          <t>2023-09-01</t>
        </is>
      </c>
      <c r="K4" s="84" t="inlineStr">
        <is>
          <t>FOUR003</t>
        </is>
      </c>
      <c r="L4" s="86" t="inlineStr">
        <is>
          <t>2026-09-01</t>
        </is>
      </c>
      <c r="M4" s="84" t="inlineStr">
        <is>
          <t>En maintenance</t>
        </is>
      </c>
      <c r="N4" s="86" t="inlineStr">
        <is>
          <t>2025-04-01</t>
        </is>
      </c>
      <c r="O4" s="86" t="inlineStr">
        <is>
          <t>2025-10-01</t>
        </is>
      </c>
      <c r="P4" s="84" t="inlineStr">
        <is>
          <t>6</t>
        </is>
      </c>
      <c r="Q4" s="84" t="inlineStr">
        <is>
          <t>TECH03</t>
        </is>
      </c>
      <c r="R4" s="84" t="inlineStr">
        <is>
          <t>PKG001</t>
        </is>
      </c>
      <c r="S4" s="94">
        <f>COUNTIF(COMPOSANTS!B:B,A4)</f>
        <v/>
      </c>
      <c r="T4" s="94">
        <f>COUNTIFS(COMPOSANTS!B:B,A4,COMPOSANTS!G:G,"Défectueux")</f>
        <v/>
      </c>
      <c r="U4" s="84" t="inlineStr">
        <is>
          <t>Dalle défectueuse - en cours de remplacement</t>
        </is>
      </c>
    </row>
    <row r="5" ht="19.5" customHeight="1" s="59">
      <c r="A5" s="87" t="inlineStr">
        <is>
          <t>EQ0004</t>
        </is>
      </c>
      <c r="B5" s="87" t="inlineStr">
        <is>
          <t>Station d'accueil HP</t>
        </is>
      </c>
      <c r="C5" s="87" t="inlineStr">
        <is>
          <t>Informatique</t>
        </is>
      </c>
      <c r="D5" s="87" t="inlineStr">
        <is>
          <t>Basse</t>
        </is>
      </c>
      <c r="E5" s="87" t="inlineStr">
        <is>
          <t>Informatique/DSI</t>
        </is>
      </c>
      <c r="F5" s="87" t="inlineStr">
        <is>
          <t>Bâtiment C - Bureau 5</t>
        </is>
      </c>
      <c r="G5" s="87" t="inlineStr">
        <is>
          <t>HP</t>
        </is>
      </c>
      <c r="H5" s="87" t="inlineStr">
        <is>
          <t>Thunderbolt Dock</t>
        </is>
      </c>
      <c r="I5" s="87" t="inlineStr">
        <is>
          <t>SN009013</t>
        </is>
      </c>
      <c r="J5" s="89" t="inlineStr">
        <is>
          <t>2023-09-01</t>
        </is>
      </c>
      <c r="K5" s="87" t="inlineStr">
        <is>
          <t>FOUR003</t>
        </is>
      </c>
      <c r="L5" s="89" t="inlineStr">
        <is>
          <t>2026-09-01</t>
        </is>
      </c>
      <c r="M5" s="87" t="inlineStr">
        <is>
          <t>En service</t>
        </is>
      </c>
      <c r="N5" s="89" t="inlineStr">
        <is>
          <t>2025-04-01</t>
        </is>
      </c>
      <c r="O5" s="89" t="inlineStr">
        <is>
          <t>2025-10-01</t>
        </is>
      </c>
      <c r="P5" s="87" t="inlineStr">
        <is>
          <t>6</t>
        </is>
      </c>
      <c r="Q5" s="87" t="inlineStr">
        <is>
          <t>TECH03</t>
        </is>
      </c>
      <c r="R5" s="87" t="inlineStr">
        <is>
          <t>PKG001</t>
        </is>
      </c>
      <c r="S5" s="95">
        <f>COUNTIF(COMPOSANTS!B:B,A5)</f>
        <v/>
      </c>
      <c r="T5" s="95">
        <f>COUNTIFS(COMPOSANTS!B:B,A5,COMPOSANTS!G:G,"Défectueux")</f>
        <v/>
      </c>
      <c r="U5" s="87" t="inlineStr">
        <is>
          <t>Fait partie du pack PC portable</t>
        </is>
      </c>
    </row>
    <row r="6" ht="19.5" customHeight="1" s="59">
      <c r="A6" s="84" t="inlineStr">
        <is>
          <t>EQ0005</t>
        </is>
      </c>
      <c r="B6" s="84" t="inlineStr">
        <is>
          <t>Alimentation externe HP</t>
        </is>
      </c>
      <c r="C6" s="84" t="inlineStr">
        <is>
          <t>Informatique</t>
        </is>
      </c>
      <c r="D6" s="84" t="inlineStr">
        <is>
          <t>Basse</t>
        </is>
      </c>
      <c r="E6" s="84" t="inlineStr">
        <is>
          <t>Informatique/DSI</t>
        </is>
      </c>
      <c r="F6" s="84" t="inlineStr">
        <is>
          <t>Bâtiment C - Bureau 5</t>
        </is>
      </c>
      <c r="G6" s="84" t="inlineStr">
        <is>
          <t>HP</t>
        </is>
      </c>
      <c r="H6" s="84" t="inlineStr">
        <is>
          <t>65W USB-C</t>
        </is>
      </c>
      <c r="I6" s="84" t="inlineStr">
        <is>
          <t>SN009014</t>
        </is>
      </c>
      <c r="J6" s="86" t="inlineStr">
        <is>
          <t>2023-09-01</t>
        </is>
      </c>
      <c r="K6" s="84" t="inlineStr">
        <is>
          <t>FOUR003</t>
        </is>
      </c>
      <c r="L6" s="86" t="inlineStr">
        <is>
          <t>2026-09-01</t>
        </is>
      </c>
      <c r="M6" s="84" t="inlineStr">
        <is>
          <t>En service</t>
        </is>
      </c>
      <c r="N6" s="86" t="inlineStr">
        <is>
          <t>2025-04-01</t>
        </is>
      </c>
      <c r="O6" s="86" t="inlineStr">
        <is>
          <t>2025-10-01</t>
        </is>
      </c>
      <c r="P6" s="84" t="inlineStr">
        <is>
          <t>6</t>
        </is>
      </c>
      <c r="Q6" s="84" t="inlineStr">
        <is>
          <t>TECH03</t>
        </is>
      </c>
      <c r="R6" s="84" t="inlineStr">
        <is>
          <t>PKG001</t>
        </is>
      </c>
      <c r="S6" s="94">
        <f>COUNTIF(COMPOSANTS!B:B,A6)</f>
        <v/>
      </c>
      <c r="T6" s="94">
        <f>COUNTIFS(COMPOSANTS!B:B,A6,COMPOSANTS!G:G,"Défectueux")</f>
        <v/>
      </c>
      <c r="U6" s="84" t="inlineStr">
        <is>
          <t>Fait partie du pack PC portable</t>
        </is>
      </c>
    </row>
    <row r="7" ht="15" customHeight="1" s="59">
      <c r="A7" s="58" t="n"/>
      <c r="B7" s="58" t="n"/>
      <c r="C7" s="58" t="n"/>
      <c r="D7" s="58" t="n"/>
      <c r="E7" s="58" t="n"/>
      <c r="F7" s="58" t="n"/>
      <c r="G7" s="58" t="n"/>
      <c r="H7" s="58" t="n"/>
      <c r="I7" s="58" t="n"/>
      <c r="J7" s="96" t="n"/>
      <c r="L7" s="96" t="n"/>
      <c r="M7" s="58" t="n"/>
      <c r="N7" s="91" t="n"/>
      <c r="O7" s="91" t="n"/>
      <c r="P7" s="58" t="n"/>
      <c r="S7" s="97">
        <f>COUNTIF(COMPOSANTS!B:B,A7)</f>
        <v/>
      </c>
      <c r="T7" s="97">
        <f>COUNTIFS(COMPOSANTS!B:B,A7,COMPOSANTS!G:G,"Défectueux")</f>
        <v/>
      </c>
      <c r="U7" s="58" t="n"/>
    </row>
    <row r="8" ht="15" customHeight="1" s="59">
      <c r="J8" s="91" t="n"/>
      <c r="L8" s="91" t="n"/>
      <c r="N8" s="91" t="n"/>
      <c r="O8" s="91" t="n"/>
      <c r="S8" s="97">
        <f>COUNTIF(COMPOSANTS!B:B,A8)</f>
        <v/>
      </c>
      <c r="T8" s="97">
        <f>COUNTIFS(COMPOSANTS!B:B,A8,COMPOSANTS!G:G,"Défectueux")</f>
        <v/>
      </c>
    </row>
    <row r="9" ht="15" customHeight="1" s="59">
      <c r="J9" s="91" t="n"/>
      <c r="L9" s="91" t="n"/>
      <c r="N9" s="91" t="n"/>
      <c r="O9" s="91" t="n"/>
      <c r="S9" s="97">
        <f>COUNTIF(COMPOSANTS!B:B,A9)</f>
        <v/>
      </c>
      <c r="T9" s="97">
        <f>COUNTIFS(COMPOSANTS!B:B,A9,COMPOSANTS!G:G,"Défectueux")</f>
        <v/>
      </c>
    </row>
    <row r="10" ht="15" customHeight="1" s="59">
      <c r="J10" s="91" t="n"/>
      <c r="L10" s="91" t="n"/>
      <c r="N10" s="91" t="n"/>
      <c r="O10" s="91" t="n"/>
      <c r="S10" s="97">
        <f>COUNTIF(COMPOSANTS!B:B,A10)</f>
        <v/>
      </c>
      <c r="T10" s="97">
        <f>COUNTIFS(COMPOSANTS!B:B,A10,COMPOSANTS!G:G,"Défectueux")</f>
        <v/>
      </c>
    </row>
    <row r="11" ht="15" customHeight="1" s="59">
      <c r="J11" s="91" t="n"/>
      <c r="L11" s="91" t="n"/>
      <c r="N11" s="91" t="n"/>
      <c r="O11" s="91" t="n"/>
      <c r="S11" s="97">
        <f>COUNTIF(COMPOSANTS!B:B,A11)</f>
        <v/>
      </c>
      <c r="T11" s="97">
        <f>COUNTIFS(COMPOSANTS!B:B,A11,COMPOSANTS!G:G,"Défectueux")</f>
        <v/>
      </c>
    </row>
    <row r="12" ht="15" customHeight="1" s="59">
      <c r="J12" s="91" t="n"/>
      <c r="L12" s="91" t="n"/>
      <c r="N12" s="91" t="n"/>
      <c r="O12" s="91" t="n"/>
      <c r="S12" s="97">
        <f>COUNTIF(COMPOSANTS!B:B,A12)</f>
        <v/>
      </c>
      <c r="T12" s="97">
        <f>COUNTIFS(COMPOSANTS!B:B,A12,COMPOSANTS!G:G,"Défectueux")</f>
        <v/>
      </c>
    </row>
    <row r="13" ht="15" customHeight="1" s="59">
      <c r="J13" s="91" t="n"/>
      <c r="L13" s="91" t="n"/>
      <c r="N13" s="91" t="n"/>
      <c r="O13" s="91" t="n"/>
      <c r="S13" s="97">
        <f>COUNTIF(COMPOSANTS!B:B,A13)</f>
        <v/>
      </c>
      <c r="T13" s="97">
        <f>COUNTIFS(COMPOSANTS!B:B,A13,COMPOSANTS!G:G,"Défectueux")</f>
        <v/>
      </c>
    </row>
    <row r="14" ht="15" customHeight="1" s="59">
      <c r="J14" s="91" t="n"/>
      <c r="L14" s="91" t="n"/>
      <c r="N14" s="91" t="n"/>
      <c r="O14" s="91" t="n"/>
      <c r="S14" s="97">
        <f>COUNTIF(COMPOSANTS!B:B,A14)</f>
        <v/>
      </c>
      <c r="T14" s="97">
        <f>COUNTIFS(COMPOSANTS!B:B,A14,COMPOSANTS!G:G,"Défectueux")</f>
        <v/>
      </c>
    </row>
    <row r="15" ht="15" customHeight="1" s="59">
      <c r="J15" s="91" t="n"/>
      <c r="L15" s="91" t="n"/>
      <c r="N15" s="91" t="n"/>
      <c r="O15" s="91" t="n"/>
      <c r="S15" s="97">
        <f>COUNTIF(COMPOSANTS!B:B,A15)</f>
        <v/>
      </c>
      <c r="T15" s="97">
        <f>COUNTIFS(COMPOSANTS!B:B,A15,COMPOSANTS!G:G,"Défectueux")</f>
        <v/>
      </c>
    </row>
    <row r="16" ht="15" customHeight="1" s="59">
      <c r="J16" s="91" t="n"/>
      <c r="L16" s="91" t="n"/>
      <c r="N16" s="91" t="n"/>
      <c r="O16" s="91" t="n"/>
      <c r="S16" s="97">
        <f>COUNTIF(COMPOSANTS!B:B,A16)</f>
        <v/>
      </c>
      <c r="T16" s="97">
        <f>COUNTIFS(COMPOSANTS!B:B,A16,COMPOSANTS!G:G,"Défectueux")</f>
        <v/>
      </c>
    </row>
    <row r="17" ht="15" customHeight="1" s="59">
      <c r="J17" s="91" t="n"/>
      <c r="L17" s="91" t="n"/>
      <c r="N17" s="91" t="n"/>
      <c r="O17" s="91" t="n"/>
      <c r="S17" s="97">
        <f>COUNTIF(COMPOSANTS!B:B,A17)</f>
        <v/>
      </c>
      <c r="T17" s="97">
        <f>COUNTIFS(COMPOSANTS!B:B,A17,COMPOSANTS!G:G,"Défectueux")</f>
        <v/>
      </c>
    </row>
    <row r="18" ht="15" customHeight="1" s="59">
      <c r="J18" s="91" t="n"/>
      <c r="L18" s="91" t="n"/>
      <c r="N18" s="91" t="n"/>
      <c r="O18" s="91" t="n"/>
      <c r="S18" s="97">
        <f>COUNTIF(COMPOSANTS!B:B,A18)</f>
        <v/>
      </c>
      <c r="T18" s="97">
        <f>COUNTIFS(COMPOSANTS!B:B,A18,COMPOSANTS!G:G,"Défectueux")</f>
        <v/>
      </c>
    </row>
    <row r="19" ht="15" customHeight="1" s="59">
      <c r="J19" s="91" t="n"/>
      <c r="L19" s="91" t="n"/>
      <c r="N19" s="91" t="n"/>
      <c r="O19" s="91" t="n"/>
      <c r="S19" s="97">
        <f>COUNTIF(COMPOSANTS!B:B,A19)</f>
        <v/>
      </c>
      <c r="T19" s="97">
        <f>COUNTIFS(COMPOSANTS!B:B,A19,COMPOSANTS!G:G,"Défectueux")</f>
        <v/>
      </c>
    </row>
    <row r="20" ht="15" customHeight="1" s="59">
      <c r="J20" s="91" t="n"/>
      <c r="L20" s="91" t="n"/>
      <c r="N20" s="91" t="n"/>
      <c r="O20" s="91" t="n"/>
      <c r="S20" s="97">
        <f>COUNTIF(COMPOSANTS!B:B,A20)</f>
        <v/>
      </c>
      <c r="T20" s="97">
        <f>COUNTIFS(COMPOSANTS!B:B,A20,COMPOSANTS!G:G,"Défectueux")</f>
        <v/>
      </c>
    </row>
    <row r="21" ht="15" customHeight="1" s="59">
      <c r="J21" s="91" t="n"/>
      <c r="L21" s="91" t="n"/>
      <c r="N21" s="91" t="n"/>
      <c r="O21" s="91" t="n"/>
      <c r="S21" s="97">
        <f>COUNTIF(COMPOSANTS!B:B,A21)</f>
        <v/>
      </c>
      <c r="T21" s="97">
        <f>COUNTIFS(COMPOSANTS!B:B,A21,COMPOSANTS!G:G,"Défectueux")</f>
        <v/>
      </c>
    </row>
    <row r="22" ht="15" customHeight="1" s="59">
      <c r="J22" s="91" t="n"/>
      <c r="L22" s="91" t="n"/>
      <c r="N22" s="91" t="n"/>
      <c r="O22" s="91" t="n"/>
      <c r="S22" s="97">
        <f>COUNTIF(COMPOSANTS!B:B,A22)</f>
        <v/>
      </c>
      <c r="T22" s="97">
        <f>COUNTIFS(COMPOSANTS!B:B,A22,COMPOSANTS!G:G,"Défectueux")</f>
        <v/>
      </c>
    </row>
    <row r="23" ht="15" customHeight="1" s="59">
      <c r="J23" s="91" t="n"/>
      <c r="L23" s="91" t="n"/>
      <c r="N23" s="91" t="n"/>
      <c r="O23" s="91" t="n"/>
      <c r="S23" s="97">
        <f>COUNTIF(COMPOSANTS!B:B,A23)</f>
        <v/>
      </c>
      <c r="T23" s="97">
        <f>COUNTIFS(COMPOSANTS!B:B,A23,COMPOSANTS!G:G,"Défectueux")</f>
        <v/>
      </c>
    </row>
    <row r="24" ht="15" customHeight="1" s="59">
      <c r="J24" s="91" t="n"/>
      <c r="L24" s="91" t="n"/>
      <c r="N24" s="91" t="n"/>
      <c r="O24" s="91" t="n"/>
      <c r="S24" s="97">
        <f>COUNTIF(COMPOSANTS!B:B,A24)</f>
        <v/>
      </c>
      <c r="T24" s="97">
        <f>COUNTIFS(COMPOSANTS!B:B,A24,COMPOSANTS!G:G,"Défectueux")</f>
        <v/>
      </c>
    </row>
    <row r="25" ht="15" customHeight="1" s="59">
      <c r="J25" s="91" t="n"/>
      <c r="L25" s="91" t="n"/>
      <c r="N25" s="91" t="n"/>
      <c r="O25" s="91" t="n"/>
      <c r="S25" s="97">
        <f>COUNTIF(COMPOSANTS!B:B,A25)</f>
        <v/>
      </c>
      <c r="T25" s="97">
        <f>COUNTIFS(COMPOSANTS!B:B,A25,COMPOSANTS!G:G,"Défectueux")</f>
        <v/>
      </c>
    </row>
    <row r="26" ht="15" customHeight="1" s="59">
      <c r="J26" s="91" t="n"/>
      <c r="L26" s="91" t="n"/>
      <c r="N26" s="91" t="n"/>
      <c r="O26" s="91" t="n"/>
      <c r="S26" s="97">
        <f>COUNTIF(COMPOSANTS!B:B,A26)</f>
        <v/>
      </c>
      <c r="T26" s="97">
        <f>COUNTIFS(COMPOSANTS!B:B,A26,COMPOSANTS!G:G,"Défectueux")</f>
        <v/>
      </c>
    </row>
    <row r="27" ht="15" customHeight="1" s="59">
      <c r="J27" s="91" t="n"/>
      <c r="L27" s="91" t="n"/>
      <c r="N27" s="91" t="n"/>
      <c r="O27" s="91" t="n"/>
      <c r="S27" s="97">
        <f>COUNTIF(COMPOSANTS!B:B,A27)</f>
        <v/>
      </c>
      <c r="T27" s="97">
        <f>COUNTIFS(COMPOSANTS!B:B,A27,COMPOSANTS!G:G,"Défectueux")</f>
        <v/>
      </c>
    </row>
    <row r="28" ht="15" customHeight="1" s="59">
      <c r="J28" s="91" t="n"/>
      <c r="L28" s="91" t="n"/>
      <c r="N28" s="91" t="n"/>
      <c r="O28" s="91" t="n"/>
      <c r="S28" s="97">
        <f>COUNTIF(COMPOSANTS!B:B,A28)</f>
        <v/>
      </c>
      <c r="T28" s="97">
        <f>COUNTIFS(COMPOSANTS!B:B,A28,COMPOSANTS!G:G,"Défectueux")</f>
        <v/>
      </c>
    </row>
    <row r="29" ht="15" customHeight="1" s="59">
      <c r="J29" s="91" t="n"/>
      <c r="L29" s="91" t="n"/>
      <c r="N29" s="91" t="n"/>
      <c r="O29" s="91" t="n"/>
      <c r="S29" s="97">
        <f>COUNTIF(COMPOSANTS!B:B,A29)</f>
        <v/>
      </c>
      <c r="T29" s="97">
        <f>COUNTIFS(COMPOSANTS!B:B,A29,COMPOSANTS!G:G,"Défectueux")</f>
        <v/>
      </c>
    </row>
    <row r="30" ht="15" customHeight="1" s="59">
      <c r="J30" s="91" t="n"/>
      <c r="L30" s="91" t="n"/>
      <c r="N30" s="91" t="n"/>
      <c r="O30" s="91" t="n"/>
      <c r="S30" s="97">
        <f>COUNTIF(COMPOSANTS!B:B,A30)</f>
        <v/>
      </c>
      <c r="T30" s="97">
        <f>COUNTIFS(COMPOSANTS!B:B,A30,COMPOSANTS!G:G,"Défectueux")</f>
        <v/>
      </c>
    </row>
    <row r="31" ht="15" customHeight="1" s="59">
      <c r="J31" s="91" t="n"/>
      <c r="L31" s="91" t="n"/>
      <c r="N31" s="91" t="n"/>
      <c r="O31" s="91" t="n"/>
      <c r="S31" s="97">
        <f>COUNTIF(COMPOSANTS!B:B,A31)</f>
        <v/>
      </c>
      <c r="T31" s="97">
        <f>COUNTIFS(COMPOSANTS!B:B,A31,COMPOSANTS!G:G,"Défectueux")</f>
        <v/>
      </c>
    </row>
    <row r="32" ht="15" customHeight="1" s="59">
      <c r="J32" s="91" t="n"/>
      <c r="L32" s="91" t="n"/>
      <c r="N32" s="91" t="n"/>
      <c r="O32" s="91" t="n"/>
      <c r="S32" s="97">
        <f>COUNTIF(COMPOSANTS!B:B,A32)</f>
        <v/>
      </c>
      <c r="T32" s="97">
        <f>COUNTIFS(COMPOSANTS!B:B,A32,COMPOSANTS!G:G,"Défectueux")</f>
        <v/>
      </c>
    </row>
    <row r="33" ht="15" customHeight="1" s="59">
      <c r="J33" s="91" t="n"/>
      <c r="L33" s="91" t="n"/>
      <c r="N33" s="91" t="n"/>
      <c r="O33" s="91" t="n"/>
      <c r="S33" s="97">
        <f>COUNTIF(COMPOSANTS!B:B,A33)</f>
        <v/>
      </c>
      <c r="T33" s="97">
        <f>COUNTIFS(COMPOSANTS!B:B,A33,COMPOSANTS!G:G,"Défectueux")</f>
        <v/>
      </c>
    </row>
    <row r="34" ht="15" customHeight="1" s="59">
      <c r="J34" s="91" t="n"/>
      <c r="L34" s="91" t="n"/>
      <c r="N34" s="91" t="n"/>
      <c r="O34" s="91" t="n"/>
      <c r="S34" s="97">
        <f>COUNTIF(COMPOSANTS!B:B,A34)</f>
        <v/>
      </c>
      <c r="T34" s="97">
        <f>COUNTIFS(COMPOSANTS!B:B,A34,COMPOSANTS!G:G,"Défectueux")</f>
        <v/>
      </c>
    </row>
    <row r="35" ht="15" customHeight="1" s="59">
      <c r="J35" s="91" t="n"/>
      <c r="L35" s="91" t="n"/>
      <c r="N35" s="91" t="n"/>
      <c r="O35" s="91" t="n"/>
      <c r="S35" s="97">
        <f>COUNTIF(COMPOSANTS!B:B,A35)</f>
        <v/>
      </c>
      <c r="T35" s="97">
        <f>COUNTIFS(COMPOSANTS!B:B,A35,COMPOSANTS!G:G,"Défectueux")</f>
        <v/>
      </c>
    </row>
    <row r="36" ht="15" customHeight="1" s="59">
      <c r="J36" s="91" t="n"/>
      <c r="L36" s="91" t="n"/>
      <c r="N36" s="91" t="n"/>
      <c r="O36" s="91" t="n"/>
      <c r="S36" s="97">
        <f>COUNTIF(COMPOSANTS!B:B,A36)</f>
        <v/>
      </c>
      <c r="T36" s="97">
        <f>COUNTIFS(COMPOSANTS!B:B,A36,COMPOSANTS!G:G,"Défectueux")</f>
        <v/>
      </c>
    </row>
    <row r="37" ht="15" customHeight="1" s="59">
      <c r="J37" s="91" t="n"/>
      <c r="L37" s="91" t="n"/>
      <c r="N37" s="91" t="n"/>
      <c r="O37" s="91" t="n"/>
      <c r="S37" s="97">
        <f>COUNTIF(COMPOSANTS!B:B,A37)</f>
        <v/>
      </c>
      <c r="T37" s="97">
        <f>COUNTIFS(COMPOSANTS!B:B,A37,COMPOSANTS!G:G,"Défectueux")</f>
        <v/>
      </c>
    </row>
    <row r="38" ht="15" customHeight="1" s="59">
      <c r="J38" s="91" t="n"/>
      <c r="L38" s="91" t="n"/>
      <c r="N38" s="91" t="n"/>
      <c r="O38" s="91" t="n"/>
      <c r="S38" s="97">
        <f>COUNTIF(COMPOSANTS!B:B,A38)</f>
        <v/>
      </c>
      <c r="T38" s="97">
        <f>COUNTIFS(COMPOSANTS!B:B,A38,COMPOSANTS!G:G,"Défectueux")</f>
        <v/>
      </c>
    </row>
    <row r="39" ht="15" customHeight="1" s="59">
      <c r="J39" s="91" t="n"/>
      <c r="L39" s="91" t="n"/>
      <c r="N39" s="91" t="n"/>
      <c r="O39" s="91" t="n"/>
      <c r="S39" s="97">
        <f>COUNTIF(COMPOSANTS!B:B,A39)</f>
        <v/>
      </c>
      <c r="T39" s="97">
        <f>COUNTIFS(COMPOSANTS!B:B,A39,COMPOSANTS!G:G,"Défectueux")</f>
        <v/>
      </c>
    </row>
    <row r="40" ht="15" customHeight="1" s="59">
      <c r="J40" s="91" t="n"/>
      <c r="L40" s="91" t="n"/>
      <c r="N40" s="91" t="n"/>
      <c r="O40" s="91" t="n"/>
      <c r="S40" s="97">
        <f>COUNTIF(COMPOSANTS!B:B,A40)</f>
        <v/>
      </c>
      <c r="T40" s="97">
        <f>COUNTIFS(COMPOSANTS!B:B,A40,COMPOSANTS!G:G,"Défectueux")</f>
        <v/>
      </c>
    </row>
    <row r="41" ht="15" customHeight="1" s="59">
      <c r="J41" s="91" t="n"/>
      <c r="L41" s="91" t="n"/>
      <c r="N41" s="91" t="n"/>
      <c r="O41" s="91" t="n"/>
      <c r="S41" s="97">
        <f>COUNTIF(COMPOSANTS!B:B,A41)</f>
        <v/>
      </c>
      <c r="T41" s="97">
        <f>COUNTIFS(COMPOSANTS!B:B,A41,COMPOSANTS!G:G,"Défectueux")</f>
        <v/>
      </c>
    </row>
    <row r="42" ht="15" customHeight="1" s="59">
      <c r="J42" s="91" t="n"/>
      <c r="L42" s="91" t="n"/>
      <c r="N42" s="91" t="n"/>
      <c r="O42" s="91" t="n"/>
      <c r="S42" s="97">
        <f>COUNTIF(COMPOSANTS!B:B,A42)</f>
        <v/>
      </c>
      <c r="T42" s="97">
        <f>COUNTIFS(COMPOSANTS!B:B,A42,COMPOSANTS!G:G,"Défectueux")</f>
        <v/>
      </c>
    </row>
    <row r="43" ht="15" customHeight="1" s="59">
      <c r="J43" s="91" t="n"/>
      <c r="L43" s="91" t="n"/>
      <c r="N43" s="91" t="n"/>
      <c r="O43" s="91" t="n"/>
      <c r="S43" s="97">
        <f>COUNTIF(COMPOSANTS!B:B,A43)</f>
        <v/>
      </c>
      <c r="T43" s="97">
        <f>COUNTIFS(COMPOSANTS!B:B,A43,COMPOSANTS!G:G,"Défectueux")</f>
        <v/>
      </c>
    </row>
    <row r="44" ht="15" customHeight="1" s="59">
      <c r="J44" s="91" t="n"/>
      <c r="L44" s="91" t="n"/>
      <c r="N44" s="91" t="n"/>
      <c r="O44" s="91" t="n"/>
      <c r="S44" s="97">
        <f>COUNTIF(COMPOSANTS!B:B,A44)</f>
        <v/>
      </c>
      <c r="T44" s="97">
        <f>COUNTIFS(COMPOSANTS!B:B,A44,COMPOSANTS!G:G,"Défectueux")</f>
        <v/>
      </c>
    </row>
    <row r="45" ht="15" customHeight="1" s="59">
      <c r="J45" s="91" t="n"/>
      <c r="L45" s="91" t="n"/>
      <c r="N45" s="91" t="n"/>
      <c r="O45" s="91" t="n"/>
      <c r="S45" s="97">
        <f>COUNTIF(COMPOSANTS!B:B,A45)</f>
        <v/>
      </c>
      <c r="T45" s="97">
        <f>COUNTIFS(COMPOSANTS!B:B,A45,COMPOSANTS!G:G,"Défectueux")</f>
        <v/>
      </c>
    </row>
    <row r="46" ht="15" customHeight="1" s="59">
      <c r="J46" s="91" t="n"/>
      <c r="L46" s="91" t="n"/>
      <c r="N46" s="91" t="n"/>
      <c r="O46" s="91" t="n"/>
      <c r="S46" s="97">
        <f>COUNTIF(COMPOSANTS!B:B,A46)</f>
        <v/>
      </c>
      <c r="T46" s="97">
        <f>COUNTIFS(COMPOSANTS!B:B,A46,COMPOSANTS!G:G,"Défectueux")</f>
        <v/>
      </c>
    </row>
    <row r="47" ht="15" customHeight="1" s="59">
      <c r="J47" s="91" t="n"/>
      <c r="L47" s="91" t="n"/>
      <c r="N47" s="91" t="n"/>
      <c r="O47" s="91" t="n"/>
      <c r="S47" s="97">
        <f>COUNTIF(COMPOSANTS!B:B,A47)</f>
        <v/>
      </c>
      <c r="T47" s="97">
        <f>COUNTIFS(COMPOSANTS!B:B,A47,COMPOSANTS!G:G,"Défectueux")</f>
        <v/>
      </c>
    </row>
    <row r="48" ht="15" customHeight="1" s="59">
      <c r="J48" s="91" t="n"/>
      <c r="L48" s="91" t="n"/>
      <c r="N48" s="91" t="n"/>
      <c r="O48" s="91" t="n"/>
      <c r="S48" s="97">
        <f>COUNTIF(COMPOSANTS!B:B,A48)</f>
        <v/>
      </c>
      <c r="T48" s="97">
        <f>COUNTIFS(COMPOSANTS!B:B,A48,COMPOSANTS!G:G,"Défectueux")</f>
        <v/>
      </c>
    </row>
    <row r="49" ht="15" customHeight="1" s="59">
      <c r="J49" s="91" t="n"/>
      <c r="L49" s="91" t="n"/>
      <c r="N49" s="91" t="n"/>
      <c r="O49" s="91" t="n"/>
      <c r="S49" s="97">
        <f>COUNTIF(COMPOSANTS!B:B,A49)</f>
        <v/>
      </c>
      <c r="T49" s="97">
        <f>COUNTIFS(COMPOSANTS!B:B,A49,COMPOSANTS!G:G,"Défectueux")</f>
        <v/>
      </c>
    </row>
    <row r="50" ht="15" customHeight="1" s="59">
      <c r="J50" s="91" t="n"/>
      <c r="L50" s="91" t="n"/>
      <c r="N50" s="91" t="n"/>
      <c r="O50" s="91" t="n"/>
      <c r="S50" s="97">
        <f>COUNTIF(COMPOSANTS!B:B,A50)</f>
        <v/>
      </c>
      <c r="T50" s="97">
        <f>COUNTIFS(COMPOSANTS!B:B,A50,COMPOSANTS!G:G,"Défectueux")</f>
        <v/>
      </c>
    </row>
    <row r="51" ht="15" customHeight="1" s="59">
      <c r="J51" s="91" t="n"/>
      <c r="L51" s="91" t="n"/>
      <c r="N51" s="91" t="n"/>
      <c r="O51" s="91" t="n"/>
      <c r="S51" s="97">
        <f>COUNTIF(COMPOSANTS!B:B,A51)</f>
        <v/>
      </c>
      <c r="T51" s="97">
        <f>COUNTIFS(COMPOSANTS!B:B,A51,COMPOSANTS!G:G,"Défectueux")</f>
        <v/>
      </c>
    </row>
    <row r="52" ht="15" customHeight="1" s="59">
      <c r="J52" s="91" t="n"/>
      <c r="L52" s="91" t="n"/>
      <c r="N52" s="91" t="n"/>
      <c r="O52" s="91" t="n"/>
      <c r="S52" s="97">
        <f>COUNTIF(COMPOSANTS!B:B,A52)</f>
        <v/>
      </c>
      <c r="T52" s="97">
        <f>COUNTIFS(COMPOSANTS!B:B,A52,COMPOSANTS!G:G,"Défectueux")</f>
        <v/>
      </c>
    </row>
    <row r="53" ht="15" customHeight="1" s="59">
      <c r="J53" s="91" t="n"/>
      <c r="L53" s="91" t="n"/>
      <c r="N53" s="91" t="n"/>
      <c r="O53" s="91" t="n"/>
      <c r="S53" s="97">
        <f>COUNTIF(COMPOSANTS!B:B,A53)</f>
        <v/>
      </c>
      <c r="T53" s="97">
        <f>COUNTIFS(COMPOSANTS!B:B,A53,COMPOSANTS!G:G,"Défectueux")</f>
        <v/>
      </c>
    </row>
    <row r="54" ht="15" customHeight="1" s="59">
      <c r="J54" s="91" t="n"/>
      <c r="L54" s="91" t="n"/>
      <c r="N54" s="91" t="n"/>
      <c r="O54" s="91" t="n"/>
      <c r="S54" s="97">
        <f>COUNTIF(COMPOSANTS!B:B,A54)</f>
        <v/>
      </c>
      <c r="T54" s="97">
        <f>COUNTIFS(COMPOSANTS!B:B,A54,COMPOSANTS!G:G,"Défectueux")</f>
        <v/>
      </c>
    </row>
    <row r="55" ht="15" customHeight="1" s="59">
      <c r="J55" s="91" t="n"/>
      <c r="L55" s="91" t="n"/>
      <c r="N55" s="91" t="n"/>
      <c r="O55" s="91" t="n"/>
      <c r="S55" s="97">
        <f>COUNTIF(COMPOSANTS!B:B,A55)</f>
        <v/>
      </c>
      <c r="T55" s="97">
        <f>COUNTIFS(COMPOSANTS!B:B,A55,COMPOSANTS!G:G,"Défectueux")</f>
        <v/>
      </c>
    </row>
    <row r="56" ht="15" customHeight="1" s="59">
      <c r="J56" s="91" t="n"/>
      <c r="L56" s="91" t="n"/>
      <c r="N56" s="91" t="n"/>
      <c r="O56" s="91" t="n"/>
      <c r="S56" s="97">
        <f>COUNTIF(COMPOSANTS!B:B,A56)</f>
        <v/>
      </c>
      <c r="T56" s="97">
        <f>COUNTIFS(COMPOSANTS!B:B,A56,COMPOSANTS!G:G,"Défectueux")</f>
        <v/>
      </c>
    </row>
    <row r="57" ht="15" customHeight="1" s="59">
      <c r="J57" s="91" t="n"/>
      <c r="L57" s="91" t="n"/>
      <c r="N57" s="91" t="n"/>
      <c r="O57" s="91" t="n"/>
      <c r="S57" s="97">
        <f>COUNTIF(COMPOSANTS!B:B,A57)</f>
        <v/>
      </c>
      <c r="T57" s="97">
        <f>COUNTIFS(COMPOSANTS!B:B,A57,COMPOSANTS!G:G,"Défectueux")</f>
        <v/>
      </c>
    </row>
    <row r="58" ht="15" customHeight="1" s="59">
      <c r="J58" s="91" t="n"/>
      <c r="L58" s="91" t="n"/>
      <c r="N58" s="91" t="n"/>
      <c r="O58" s="91" t="n"/>
      <c r="S58" s="97">
        <f>COUNTIF(COMPOSANTS!B:B,A58)</f>
        <v/>
      </c>
      <c r="T58" s="97">
        <f>COUNTIFS(COMPOSANTS!B:B,A58,COMPOSANTS!G:G,"Défectueux")</f>
        <v/>
      </c>
    </row>
    <row r="59" ht="15" customHeight="1" s="59">
      <c r="J59" s="91" t="n"/>
      <c r="L59" s="91" t="n"/>
      <c r="N59" s="91" t="n"/>
      <c r="O59" s="91" t="n"/>
      <c r="S59" s="97">
        <f>COUNTIF(COMPOSANTS!B:B,A59)</f>
        <v/>
      </c>
      <c r="T59" s="97">
        <f>COUNTIFS(COMPOSANTS!B:B,A59,COMPOSANTS!G:G,"Défectueux")</f>
        <v/>
      </c>
    </row>
    <row r="60" ht="15" customHeight="1" s="59">
      <c r="J60" s="91" t="n"/>
      <c r="L60" s="91" t="n"/>
      <c r="N60" s="91" t="n"/>
      <c r="O60" s="91" t="n"/>
      <c r="S60" s="97">
        <f>COUNTIF(COMPOSANTS!B:B,A60)</f>
        <v/>
      </c>
      <c r="T60" s="97">
        <f>COUNTIFS(COMPOSANTS!B:B,A60,COMPOSANTS!G:G,"Défectueux")</f>
        <v/>
      </c>
    </row>
    <row r="61" ht="15" customHeight="1" s="59">
      <c r="J61" s="91" t="n"/>
      <c r="L61" s="91" t="n"/>
      <c r="N61" s="91" t="n"/>
      <c r="O61" s="91" t="n"/>
      <c r="S61" s="97">
        <f>COUNTIF(COMPOSANTS!B:B,A61)</f>
        <v/>
      </c>
      <c r="T61" s="97">
        <f>COUNTIFS(COMPOSANTS!B:B,A61,COMPOSANTS!G:G,"Défectueux")</f>
        <v/>
      </c>
    </row>
    <row r="62" ht="15" customHeight="1" s="59">
      <c r="J62" s="91" t="n"/>
      <c r="L62" s="91" t="n"/>
      <c r="N62" s="91" t="n"/>
      <c r="O62" s="91" t="n"/>
      <c r="S62" s="97">
        <f>COUNTIF(COMPOSANTS!B:B,A62)</f>
        <v/>
      </c>
      <c r="T62" s="97">
        <f>COUNTIFS(COMPOSANTS!B:B,A62,COMPOSANTS!G:G,"Défectueux")</f>
        <v/>
      </c>
    </row>
    <row r="63" ht="15" customHeight="1" s="59">
      <c r="J63" s="91" t="n"/>
      <c r="L63" s="91" t="n"/>
      <c r="N63" s="91" t="n"/>
      <c r="O63" s="91" t="n"/>
      <c r="S63" s="97">
        <f>COUNTIF(COMPOSANTS!B:B,A63)</f>
        <v/>
      </c>
      <c r="T63" s="97">
        <f>COUNTIFS(COMPOSANTS!B:B,A63,COMPOSANTS!G:G,"Défectueux")</f>
        <v/>
      </c>
    </row>
    <row r="64" ht="15" customHeight="1" s="59">
      <c r="J64" s="91" t="n"/>
      <c r="L64" s="91" t="n"/>
      <c r="N64" s="91" t="n"/>
      <c r="O64" s="91" t="n"/>
      <c r="S64" s="97">
        <f>COUNTIF(COMPOSANTS!B:B,A64)</f>
        <v/>
      </c>
      <c r="T64" s="97">
        <f>COUNTIFS(COMPOSANTS!B:B,A64,COMPOSANTS!G:G,"Défectueux")</f>
        <v/>
      </c>
    </row>
    <row r="65" ht="15" customHeight="1" s="59">
      <c r="J65" s="91" t="n"/>
      <c r="L65" s="91" t="n"/>
      <c r="N65" s="91" t="n"/>
      <c r="O65" s="91" t="n"/>
      <c r="S65" s="97">
        <f>COUNTIF(COMPOSANTS!B:B,A65)</f>
        <v/>
      </c>
      <c r="T65" s="97">
        <f>COUNTIFS(COMPOSANTS!B:B,A65,COMPOSANTS!G:G,"Défectueux")</f>
        <v/>
      </c>
    </row>
    <row r="66" ht="15" customHeight="1" s="59">
      <c r="J66" s="91" t="n"/>
      <c r="L66" s="91" t="n"/>
      <c r="N66" s="91" t="n"/>
      <c r="O66" s="91" t="n"/>
      <c r="S66" s="97">
        <f>COUNTIF(COMPOSANTS!B:B,A66)</f>
        <v/>
      </c>
      <c r="T66" s="97">
        <f>COUNTIFS(COMPOSANTS!B:B,A66,COMPOSANTS!G:G,"Défectueux")</f>
        <v/>
      </c>
    </row>
    <row r="67" ht="15" customHeight="1" s="59">
      <c r="J67" s="91" t="n"/>
      <c r="L67" s="91" t="n"/>
      <c r="N67" s="91" t="n"/>
      <c r="O67" s="91" t="n"/>
      <c r="S67" s="97">
        <f>COUNTIF(COMPOSANTS!B:B,A67)</f>
        <v/>
      </c>
      <c r="T67" s="97">
        <f>COUNTIFS(COMPOSANTS!B:B,A67,COMPOSANTS!G:G,"Défectueux")</f>
        <v/>
      </c>
    </row>
    <row r="68" ht="15" customHeight="1" s="59">
      <c r="J68" s="91" t="n"/>
      <c r="L68" s="91" t="n"/>
      <c r="N68" s="91" t="n"/>
      <c r="O68" s="91" t="n"/>
      <c r="S68" s="97">
        <f>COUNTIF(COMPOSANTS!B:B,A68)</f>
        <v/>
      </c>
      <c r="T68" s="97">
        <f>COUNTIFS(COMPOSANTS!B:B,A68,COMPOSANTS!G:G,"Défectueux")</f>
        <v/>
      </c>
    </row>
    <row r="69" ht="15" customHeight="1" s="59">
      <c r="J69" s="91" t="n"/>
      <c r="L69" s="91" t="n"/>
      <c r="N69" s="91" t="n"/>
      <c r="O69" s="91" t="n"/>
      <c r="S69" s="97">
        <f>COUNTIF(COMPOSANTS!B:B,A69)</f>
        <v/>
      </c>
      <c r="T69" s="97">
        <f>COUNTIFS(COMPOSANTS!B:B,A69,COMPOSANTS!G:G,"Défectueux")</f>
        <v/>
      </c>
    </row>
    <row r="70" ht="15" customHeight="1" s="59">
      <c r="J70" s="91" t="n"/>
      <c r="L70" s="91" t="n"/>
      <c r="N70" s="91" t="n"/>
      <c r="O70" s="91" t="n"/>
      <c r="S70" s="97">
        <f>COUNTIF(COMPOSANTS!B:B,A70)</f>
        <v/>
      </c>
      <c r="T70" s="97">
        <f>COUNTIFS(COMPOSANTS!B:B,A70,COMPOSANTS!G:G,"Défectueux")</f>
        <v/>
      </c>
    </row>
    <row r="71" ht="15" customHeight="1" s="59">
      <c r="J71" s="91" t="n"/>
      <c r="L71" s="91" t="n"/>
      <c r="N71" s="91" t="n"/>
      <c r="O71" s="91" t="n"/>
      <c r="S71" s="97">
        <f>COUNTIF(COMPOSANTS!B:B,A71)</f>
        <v/>
      </c>
      <c r="T71" s="97">
        <f>COUNTIFS(COMPOSANTS!B:B,A71,COMPOSANTS!G:G,"Défectueux")</f>
        <v/>
      </c>
    </row>
    <row r="72" ht="15" customHeight="1" s="59">
      <c r="J72" s="91" t="n"/>
      <c r="L72" s="91" t="n"/>
      <c r="N72" s="91" t="n"/>
      <c r="O72" s="91" t="n"/>
      <c r="S72" s="97">
        <f>COUNTIF(COMPOSANTS!B:B,A72)</f>
        <v/>
      </c>
      <c r="T72" s="97">
        <f>COUNTIFS(COMPOSANTS!B:B,A72,COMPOSANTS!G:G,"Défectueux")</f>
        <v/>
      </c>
    </row>
    <row r="73" ht="15" customHeight="1" s="59">
      <c r="J73" s="91" t="n"/>
      <c r="L73" s="91" t="n"/>
      <c r="N73" s="91" t="n"/>
      <c r="O73" s="91" t="n"/>
      <c r="S73" s="97">
        <f>COUNTIF(COMPOSANTS!B:B,A73)</f>
        <v/>
      </c>
      <c r="T73" s="97">
        <f>COUNTIFS(COMPOSANTS!B:B,A73,COMPOSANTS!G:G,"Défectueux")</f>
        <v/>
      </c>
    </row>
    <row r="74" ht="15" customHeight="1" s="59">
      <c r="J74" s="91" t="n"/>
      <c r="L74" s="91" t="n"/>
      <c r="N74" s="91" t="n"/>
      <c r="O74" s="91" t="n"/>
      <c r="S74" s="97">
        <f>COUNTIF(COMPOSANTS!B:B,A74)</f>
        <v/>
      </c>
      <c r="T74" s="97">
        <f>COUNTIFS(COMPOSANTS!B:B,A74,COMPOSANTS!G:G,"Défectueux")</f>
        <v/>
      </c>
    </row>
    <row r="75" ht="15" customHeight="1" s="59">
      <c r="J75" s="91" t="n"/>
      <c r="L75" s="91" t="n"/>
      <c r="N75" s="91" t="n"/>
      <c r="O75" s="91" t="n"/>
      <c r="S75" s="97">
        <f>COUNTIF(COMPOSANTS!B:B,A75)</f>
        <v/>
      </c>
      <c r="T75" s="97">
        <f>COUNTIFS(COMPOSANTS!B:B,A75,COMPOSANTS!G:G,"Défectueux")</f>
        <v/>
      </c>
    </row>
    <row r="76" ht="15" customHeight="1" s="59">
      <c r="J76" s="91" t="n"/>
      <c r="L76" s="91" t="n"/>
      <c r="N76" s="91" t="n"/>
      <c r="O76" s="91" t="n"/>
      <c r="S76" s="97">
        <f>COUNTIF(COMPOSANTS!B:B,A76)</f>
        <v/>
      </c>
      <c r="T76" s="97">
        <f>COUNTIFS(COMPOSANTS!B:B,A76,COMPOSANTS!G:G,"Défectueux")</f>
        <v/>
      </c>
    </row>
    <row r="77" ht="15" customHeight="1" s="59">
      <c r="J77" s="91" t="n"/>
      <c r="L77" s="91" t="n"/>
      <c r="N77" s="91" t="n"/>
      <c r="O77" s="91" t="n"/>
      <c r="S77" s="97">
        <f>COUNTIF(COMPOSANTS!B:B,A77)</f>
        <v/>
      </c>
      <c r="T77" s="97">
        <f>COUNTIFS(COMPOSANTS!B:B,A77,COMPOSANTS!G:G,"Défectueux")</f>
        <v/>
      </c>
    </row>
    <row r="78" ht="15" customHeight="1" s="59">
      <c r="J78" s="91" t="n"/>
      <c r="L78" s="91" t="n"/>
      <c r="N78" s="91" t="n"/>
      <c r="O78" s="91" t="n"/>
      <c r="S78" s="97">
        <f>COUNTIF(COMPOSANTS!B:B,A78)</f>
        <v/>
      </c>
      <c r="T78" s="97">
        <f>COUNTIFS(COMPOSANTS!B:B,A78,COMPOSANTS!G:G,"Défectueux")</f>
        <v/>
      </c>
    </row>
    <row r="79" ht="15" customHeight="1" s="59">
      <c r="J79" s="91" t="n"/>
      <c r="L79" s="91" t="n"/>
      <c r="N79" s="91" t="n"/>
      <c r="O79" s="91" t="n"/>
      <c r="S79" s="97">
        <f>COUNTIF(COMPOSANTS!B:B,A79)</f>
        <v/>
      </c>
      <c r="T79" s="97">
        <f>COUNTIFS(COMPOSANTS!B:B,A79,COMPOSANTS!G:G,"Défectueux")</f>
        <v/>
      </c>
    </row>
    <row r="80" ht="15" customHeight="1" s="59">
      <c r="J80" s="91" t="n"/>
      <c r="L80" s="91" t="n"/>
      <c r="N80" s="91" t="n"/>
      <c r="O80" s="91" t="n"/>
      <c r="S80" s="97">
        <f>COUNTIF(COMPOSANTS!B:B,A80)</f>
        <v/>
      </c>
      <c r="T80" s="97">
        <f>COUNTIFS(COMPOSANTS!B:B,A80,COMPOSANTS!G:G,"Défectueux")</f>
        <v/>
      </c>
    </row>
    <row r="81" ht="15" customHeight="1" s="59">
      <c r="J81" s="91" t="n"/>
      <c r="L81" s="91" t="n"/>
      <c r="N81" s="91" t="n"/>
      <c r="O81" s="91" t="n"/>
      <c r="S81" s="97">
        <f>COUNTIF(COMPOSANTS!B:B,A81)</f>
        <v/>
      </c>
      <c r="T81" s="97">
        <f>COUNTIFS(COMPOSANTS!B:B,A81,COMPOSANTS!G:G,"Défectueux")</f>
        <v/>
      </c>
    </row>
    <row r="82" ht="15" customHeight="1" s="59">
      <c r="J82" s="91" t="n"/>
      <c r="L82" s="91" t="n"/>
      <c r="N82" s="91" t="n"/>
      <c r="O82" s="91" t="n"/>
      <c r="S82" s="97">
        <f>COUNTIF(COMPOSANTS!B:B,A82)</f>
        <v/>
      </c>
      <c r="T82" s="97">
        <f>COUNTIFS(COMPOSANTS!B:B,A82,COMPOSANTS!G:G,"Défectueux")</f>
        <v/>
      </c>
    </row>
    <row r="83" ht="15" customHeight="1" s="59">
      <c r="J83" s="91" t="n"/>
      <c r="L83" s="91" t="n"/>
      <c r="N83" s="91" t="n"/>
      <c r="O83" s="91" t="n"/>
      <c r="S83" s="97">
        <f>COUNTIF(COMPOSANTS!B:B,A83)</f>
        <v/>
      </c>
      <c r="T83" s="97">
        <f>COUNTIFS(COMPOSANTS!B:B,A83,COMPOSANTS!G:G,"Défectueux")</f>
        <v/>
      </c>
    </row>
    <row r="84" ht="15" customHeight="1" s="59">
      <c r="J84" s="91" t="n"/>
      <c r="L84" s="91" t="n"/>
      <c r="N84" s="91" t="n"/>
      <c r="O84" s="91" t="n"/>
      <c r="S84" s="97">
        <f>COUNTIF(COMPOSANTS!B:B,A84)</f>
        <v/>
      </c>
      <c r="T84" s="97">
        <f>COUNTIFS(COMPOSANTS!B:B,A84,COMPOSANTS!G:G,"Défectueux")</f>
        <v/>
      </c>
    </row>
    <row r="85" ht="15" customHeight="1" s="59">
      <c r="J85" s="91" t="n"/>
      <c r="L85" s="91" t="n"/>
      <c r="N85" s="91" t="n"/>
      <c r="O85" s="91" t="n"/>
      <c r="S85" s="97">
        <f>COUNTIF(COMPOSANTS!B:B,A85)</f>
        <v/>
      </c>
      <c r="T85" s="97">
        <f>COUNTIFS(COMPOSANTS!B:B,A85,COMPOSANTS!G:G,"Défectueux")</f>
        <v/>
      </c>
    </row>
    <row r="86" ht="15" customHeight="1" s="59">
      <c r="J86" s="91" t="n"/>
      <c r="L86" s="91" t="n"/>
      <c r="N86" s="91" t="n"/>
      <c r="O86" s="91" t="n"/>
      <c r="S86" s="97">
        <f>COUNTIF(COMPOSANTS!B:B,A86)</f>
        <v/>
      </c>
      <c r="T86" s="97">
        <f>COUNTIFS(COMPOSANTS!B:B,A86,COMPOSANTS!G:G,"Défectueux")</f>
        <v/>
      </c>
    </row>
    <row r="87" ht="15" customHeight="1" s="59">
      <c r="J87" s="91" t="n"/>
      <c r="L87" s="91" t="n"/>
      <c r="N87" s="91" t="n"/>
      <c r="O87" s="91" t="n"/>
      <c r="S87" s="97">
        <f>COUNTIF(COMPOSANTS!B:B,A87)</f>
        <v/>
      </c>
      <c r="T87" s="97">
        <f>COUNTIFS(COMPOSANTS!B:B,A87,COMPOSANTS!G:G,"Défectueux")</f>
        <v/>
      </c>
    </row>
    <row r="88" ht="15" customHeight="1" s="59">
      <c r="J88" s="91" t="n"/>
      <c r="L88" s="91" t="n"/>
      <c r="N88" s="91" t="n"/>
      <c r="O88" s="91" t="n"/>
      <c r="S88" s="97">
        <f>COUNTIF(COMPOSANTS!B:B,A88)</f>
        <v/>
      </c>
      <c r="T88" s="97">
        <f>COUNTIFS(COMPOSANTS!B:B,A88,COMPOSANTS!G:G,"Défectueux")</f>
        <v/>
      </c>
    </row>
    <row r="89" ht="15" customHeight="1" s="59">
      <c r="J89" s="91" t="n"/>
      <c r="L89" s="91" t="n"/>
      <c r="N89" s="91" t="n"/>
      <c r="O89" s="91" t="n"/>
      <c r="S89" s="97">
        <f>COUNTIF(COMPOSANTS!B:B,A89)</f>
        <v/>
      </c>
      <c r="T89" s="97">
        <f>COUNTIFS(COMPOSANTS!B:B,A89,COMPOSANTS!G:G,"Défectueux")</f>
        <v/>
      </c>
    </row>
    <row r="90" ht="15" customHeight="1" s="59">
      <c r="J90" s="91" t="n"/>
      <c r="L90" s="91" t="n"/>
      <c r="N90" s="91" t="n"/>
      <c r="O90" s="91" t="n"/>
      <c r="S90" s="97">
        <f>COUNTIF(COMPOSANTS!B:B,A90)</f>
        <v/>
      </c>
      <c r="T90" s="97">
        <f>COUNTIFS(COMPOSANTS!B:B,A90,COMPOSANTS!G:G,"Défectueux")</f>
        <v/>
      </c>
    </row>
    <row r="91" ht="15" customHeight="1" s="59">
      <c r="J91" s="91" t="n"/>
      <c r="L91" s="91" t="n"/>
      <c r="N91" s="91" t="n"/>
      <c r="O91" s="91" t="n"/>
      <c r="S91" s="97">
        <f>COUNTIF(COMPOSANTS!B:B,A91)</f>
        <v/>
      </c>
      <c r="T91" s="97">
        <f>COUNTIFS(COMPOSANTS!B:B,A91,COMPOSANTS!G:G,"Défectueux")</f>
        <v/>
      </c>
    </row>
    <row r="92" ht="15" customHeight="1" s="59">
      <c r="J92" s="91" t="n"/>
      <c r="L92" s="91" t="n"/>
      <c r="N92" s="91" t="n"/>
      <c r="O92" s="91" t="n"/>
      <c r="S92" s="97">
        <f>COUNTIF(COMPOSANTS!B:B,A92)</f>
        <v/>
      </c>
      <c r="T92" s="97">
        <f>COUNTIFS(COMPOSANTS!B:B,A92,COMPOSANTS!G:G,"Défectueux")</f>
        <v/>
      </c>
    </row>
    <row r="93" ht="15" customHeight="1" s="59">
      <c r="J93" s="91" t="n"/>
      <c r="L93" s="91" t="n"/>
      <c r="N93" s="91" t="n"/>
      <c r="O93" s="91" t="n"/>
      <c r="S93" s="97">
        <f>COUNTIF(COMPOSANTS!B:B,A93)</f>
        <v/>
      </c>
      <c r="T93" s="97">
        <f>COUNTIFS(COMPOSANTS!B:B,A93,COMPOSANTS!G:G,"Défectueux")</f>
        <v/>
      </c>
    </row>
    <row r="94" ht="15" customHeight="1" s="59">
      <c r="J94" s="91" t="n"/>
      <c r="L94" s="91" t="n"/>
      <c r="N94" s="91" t="n"/>
      <c r="O94" s="91" t="n"/>
      <c r="S94" s="97">
        <f>COUNTIF(COMPOSANTS!B:B,A94)</f>
        <v/>
      </c>
      <c r="T94" s="97">
        <f>COUNTIFS(COMPOSANTS!B:B,A94,COMPOSANTS!G:G,"Défectueux")</f>
        <v/>
      </c>
    </row>
    <row r="95" ht="15" customHeight="1" s="59">
      <c r="J95" s="91" t="n"/>
      <c r="L95" s="91" t="n"/>
      <c r="N95" s="91" t="n"/>
      <c r="O95" s="91" t="n"/>
      <c r="S95" s="97">
        <f>COUNTIF(COMPOSANTS!B:B,A95)</f>
        <v/>
      </c>
      <c r="T95" s="97">
        <f>COUNTIFS(COMPOSANTS!B:B,A95,COMPOSANTS!G:G,"Défectueux")</f>
        <v/>
      </c>
    </row>
    <row r="96" ht="15" customHeight="1" s="59">
      <c r="J96" s="91" t="n"/>
      <c r="L96" s="91" t="n"/>
      <c r="N96" s="91" t="n"/>
      <c r="O96" s="91" t="n"/>
      <c r="S96" s="97">
        <f>COUNTIF(COMPOSANTS!B:B,A96)</f>
        <v/>
      </c>
      <c r="T96" s="97">
        <f>COUNTIFS(COMPOSANTS!B:B,A96,COMPOSANTS!G:G,"Défectueux")</f>
        <v/>
      </c>
    </row>
    <row r="97" ht="15" customHeight="1" s="59">
      <c r="J97" s="91" t="n"/>
      <c r="L97" s="91" t="n"/>
      <c r="N97" s="91" t="n"/>
      <c r="O97" s="91" t="n"/>
      <c r="S97" s="97">
        <f>COUNTIF(COMPOSANTS!B:B,A97)</f>
        <v/>
      </c>
      <c r="T97" s="97">
        <f>COUNTIFS(COMPOSANTS!B:B,A97,COMPOSANTS!G:G,"Défectueux")</f>
        <v/>
      </c>
    </row>
    <row r="98" ht="15" customHeight="1" s="59">
      <c r="J98" s="91" t="n"/>
      <c r="L98" s="91" t="n"/>
      <c r="N98" s="91" t="n"/>
      <c r="O98" s="91" t="n"/>
      <c r="S98" s="97">
        <f>COUNTIF(COMPOSANTS!B:B,A98)</f>
        <v/>
      </c>
      <c r="T98" s="97">
        <f>COUNTIFS(COMPOSANTS!B:B,A98,COMPOSANTS!G:G,"Défectueux")</f>
        <v/>
      </c>
    </row>
    <row r="99" ht="15" customHeight="1" s="59">
      <c r="J99" s="91" t="n"/>
      <c r="L99" s="91" t="n"/>
      <c r="N99" s="91" t="n"/>
      <c r="O99" s="91" t="n"/>
      <c r="S99" s="97">
        <f>COUNTIF(COMPOSANTS!B:B,A99)</f>
        <v/>
      </c>
      <c r="T99" s="97">
        <f>COUNTIFS(COMPOSANTS!B:B,A99,COMPOSANTS!G:G,"Défectueux")</f>
        <v/>
      </c>
    </row>
    <row r="100" ht="15" customHeight="1" s="59">
      <c r="J100" s="91" t="n"/>
      <c r="L100" s="91" t="n"/>
      <c r="N100" s="91" t="n"/>
      <c r="O100" s="91" t="n"/>
      <c r="S100" s="97">
        <f>COUNTIF(COMPOSANTS!B:B,A100)</f>
        <v/>
      </c>
      <c r="T100" s="97">
        <f>COUNTIFS(COMPOSANTS!B:B,A100,COMPOSANTS!G:G,"Défectueux")</f>
        <v/>
      </c>
    </row>
    <row r="101" ht="15" customHeight="1" s="59">
      <c r="J101" s="91" t="n"/>
      <c r="L101" s="91" t="n"/>
      <c r="N101" s="91" t="n"/>
      <c r="O101" s="91" t="n"/>
      <c r="S101" s="97">
        <f>COUNTIF(COMPOSANTS!B:B,A101)</f>
        <v/>
      </c>
      <c r="T101" s="97">
        <f>COUNTIFS(COMPOSANTS!B:B,A101,COMPOSANTS!G:G,"Défectueux")</f>
        <v/>
      </c>
    </row>
    <row r="102" ht="15" customHeight="1" s="59">
      <c r="J102" s="91" t="n"/>
      <c r="L102" s="91" t="n"/>
      <c r="N102" s="91" t="n"/>
      <c r="O102" s="91" t="n"/>
      <c r="S102" s="97">
        <f>COUNTIF(COMPOSANTS!B:B,A102)</f>
        <v/>
      </c>
      <c r="T102" s="97">
        <f>COUNTIFS(COMPOSANTS!B:B,A102,COMPOSANTS!G:G,"Défectueux")</f>
        <v/>
      </c>
    </row>
    <row r="103" ht="15" customHeight="1" s="59">
      <c r="J103" s="91" t="n"/>
      <c r="L103" s="91" t="n"/>
      <c r="N103" s="91" t="n"/>
      <c r="O103" s="91" t="n"/>
      <c r="S103" s="97">
        <f>COUNTIF(COMPOSANTS!B:B,A103)</f>
        <v/>
      </c>
      <c r="T103" s="97">
        <f>COUNTIFS(COMPOSANTS!B:B,A103,COMPOSANTS!G:G,"Défectueux")</f>
        <v/>
      </c>
    </row>
    <row r="104" ht="15" customHeight="1" s="59">
      <c r="J104" s="91" t="n"/>
      <c r="L104" s="91" t="n"/>
      <c r="N104" s="91" t="n"/>
      <c r="O104" s="91" t="n"/>
      <c r="S104" s="97">
        <f>COUNTIF(COMPOSANTS!B:B,A104)</f>
        <v/>
      </c>
      <c r="T104" s="97">
        <f>COUNTIFS(COMPOSANTS!B:B,A104,COMPOSANTS!G:G,"Défectueux")</f>
        <v/>
      </c>
    </row>
    <row r="105" ht="15" customHeight="1" s="59">
      <c r="J105" s="91" t="n"/>
      <c r="L105" s="91" t="n"/>
      <c r="N105" s="91" t="n"/>
      <c r="O105" s="91" t="n"/>
      <c r="S105" s="97">
        <f>COUNTIF(COMPOSANTS!B:B,A105)</f>
        <v/>
      </c>
      <c r="T105" s="97">
        <f>COUNTIFS(COMPOSANTS!B:B,A105,COMPOSANTS!G:G,"Défectueux")</f>
        <v/>
      </c>
    </row>
    <row r="106" ht="15" customHeight="1" s="59">
      <c r="J106" s="91" t="n"/>
      <c r="L106" s="91" t="n"/>
      <c r="N106" s="91" t="n"/>
      <c r="O106" s="91" t="n"/>
      <c r="S106" s="97">
        <f>COUNTIF(COMPOSANTS!B:B,A106)</f>
        <v/>
      </c>
      <c r="T106" s="97">
        <f>COUNTIFS(COMPOSANTS!B:B,A106,COMPOSANTS!G:G,"Défectueux")</f>
        <v/>
      </c>
    </row>
    <row r="107" ht="15" customHeight="1" s="59">
      <c r="J107" s="91" t="n"/>
      <c r="L107" s="91" t="n"/>
      <c r="N107" s="91" t="n"/>
      <c r="O107" s="91" t="n"/>
      <c r="S107" s="97">
        <f>COUNTIF(COMPOSANTS!B:B,A107)</f>
        <v/>
      </c>
      <c r="T107" s="97">
        <f>COUNTIFS(COMPOSANTS!B:B,A107,COMPOSANTS!G:G,"Défectueux")</f>
        <v/>
      </c>
    </row>
    <row r="108" ht="15" customHeight="1" s="59">
      <c r="J108" s="91" t="n"/>
      <c r="L108" s="91" t="n"/>
      <c r="N108" s="91" t="n"/>
      <c r="O108" s="91" t="n"/>
      <c r="S108" s="97">
        <f>COUNTIF(COMPOSANTS!B:B,A108)</f>
        <v/>
      </c>
      <c r="T108" s="97">
        <f>COUNTIFS(COMPOSANTS!B:B,A108,COMPOSANTS!G:G,"Défectueux")</f>
        <v/>
      </c>
    </row>
    <row r="109" ht="15" customHeight="1" s="59">
      <c r="J109" s="91" t="n"/>
      <c r="L109" s="91" t="n"/>
      <c r="N109" s="91" t="n"/>
      <c r="O109" s="91" t="n"/>
      <c r="S109" s="97">
        <f>COUNTIF(COMPOSANTS!B:B,A109)</f>
        <v/>
      </c>
      <c r="T109" s="97">
        <f>COUNTIFS(COMPOSANTS!B:B,A109,COMPOSANTS!G:G,"Défectueux")</f>
        <v/>
      </c>
    </row>
    <row r="110" ht="15" customHeight="1" s="59">
      <c r="J110" s="91" t="n"/>
      <c r="L110" s="91" t="n"/>
      <c r="N110" s="91" t="n"/>
      <c r="O110" s="91" t="n"/>
      <c r="S110" s="97">
        <f>COUNTIF(COMPOSANTS!B:B,A110)</f>
        <v/>
      </c>
      <c r="T110" s="97">
        <f>COUNTIFS(COMPOSANTS!B:B,A110,COMPOSANTS!G:G,"Défectueux")</f>
        <v/>
      </c>
    </row>
    <row r="111" ht="15" customHeight="1" s="59">
      <c r="J111" s="91" t="n"/>
      <c r="L111" s="91" t="n"/>
      <c r="N111" s="91" t="n"/>
      <c r="O111" s="91" t="n"/>
      <c r="S111" s="97">
        <f>COUNTIF(COMPOSANTS!B:B,A111)</f>
        <v/>
      </c>
      <c r="T111" s="97">
        <f>COUNTIFS(COMPOSANTS!B:B,A111,COMPOSANTS!G:G,"Défectueux")</f>
        <v/>
      </c>
    </row>
    <row r="112" ht="15" customHeight="1" s="59">
      <c r="J112" s="91" t="n"/>
      <c r="L112" s="91" t="n"/>
      <c r="N112" s="91" t="n"/>
      <c r="O112" s="91" t="n"/>
      <c r="S112" s="97">
        <f>COUNTIF(COMPOSANTS!B:B,A112)</f>
        <v/>
      </c>
      <c r="T112" s="97">
        <f>COUNTIFS(COMPOSANTS!B:B,A112,COMPOSANTS!G:G,"Défectueux")</f>
        <v/>
      </c>
    </row>
    <row r="113" ht="15" customHeight="1" s="59">
      <c r="J113" s="91" t="n"/>
      <c r="L113" s="91" t="n"/>
      <c r="N113" s="91" t="n"/>
      <c r="O113" s="91" t="n"/>
      <c r="S113" s="97">
        <f>COUNTIF(COMPOSANTS!B:B,A113)</f>
        <v/>
      </c>
      <c r="T113" s="97">
        <f>COUNTIFS(COMPOSANTS!B:B,A113,COMPOSANTS!G:G,"Défectueux")</f>
        <v/>
      </c>
    </row>
    <row r="114" ht="15" customHeight="1" s="59">
      <c r="J114" s="91" t="n"/>
      <c r="L114" s="91" t="n"/>
      <c r="N114" s="91" t="n"/>
      <c r="O114" s="91" t="n"/>
      <c r="S114" s="97">
        <f>COUNTIF(COMPOSANTS!B:B,A114)</f>
        <v/>
      </c>
      <c r="T114" s="97">
        <f>COUNTIFS(COMPOSANTS!B:B,A114,COMPOSANTS!G:G,"Défectueux")</f>
        <v/>
      </c>
    </row>
    <row r="115" ht="15" customHeight="1" s="59">
      <c r="J115" s="91" t="n"/>
      <c r="L115" s="91" t="n"/>
      <c r="N115" s="91" t="n"/>
      <c r="O115" s="91" t="n"/>
      <c r="S115" s="97">
        <f>COUNTIF(COMPOSANTS!B:B,A115)</f>
        <v/>
      </c>
      <c r="T115" s="97">
        <f>COUNTIFS(COMPOSANTS!B:B,A115,COMPOSANTS!G:G,"Défectueux")</f>
        <v/>
      </c>
    </row>
    <row r="116" ht="15" customHeight="1" s="59">
      <c r="J116" s="91" t="n"/>
      <c r="L116" s="91" t="n"/>
      <c r="N116" s="91" t="n"/>
      <c r="O116" s="91" t="n"/>
      <c r="S116" s="97">
        <f>COUNTIF(COMPOSANTS!B:B,A116)</f>
        <v/>
      </c>
      <c r="T116" s="97">
        <f>COUNTIFS(COMPOSANTS!B:B,A116,COMPOSANTS!G:G,"Défectueux")</f>
        <v/>
      </c>
    </row>
    <row r="117" ht="15" customHeight="1" s="59">
      <c r="J117" s="91" t="n"/>
      <c r="L117" s="91" t="n"/>
      <c r="N117" s="91" t="n"/>
      <c r="O117" s="91" t="n"/>
      <c r="S117" s="97">
        <f>COUNTIF(COMPOSANTS!B:B,A117)</f>
        <v/>
      </c>
      <c r="T117" s="97">
        <f>COUNTIFS(COMPOSANTS!B:B,A117,COMPOSANTS!G:G,"Défectueux")</f>
        <v/>
      </c>
    </row>
    <row r="118" ht="15" customHeight="1" s="59">
      <c r="J118" s="91" t="n"/>
      <c r="L118" s="91" t="n"/>
      <c r="N118" s="91" t="n"/>
      <c r="O118" s="91" t="n"/>
      <c r="S118" s="97">
        <f>COUNTIF(COMPOSANTS!B:B,A118)</f>
        <v/>
      </c>
      <c r="T118" s="97">
        <f>COUNTIFS(COMPOSANTS!B:B,A118,COMPOSANTS!G:G,"Défectueux")</f>
        <v/>
      </c>
    </row>
    <row r="119" ht="15" customHeight="1" s="59">
      <c r="J119" s="91" t="n"/>
      <c r="L119" s="91" t="n"/>
      <c r="N119" s="91" t="n"/>
      <c r="O119" s="91" t="n"/>
      <c r="S119" s="97">
        <f>COUNTIF(COMPOSANTS!B:B,A119)</f>
        <v/>
      </c>
      <c r="T119" s="97">
        <f>COUNTIFS(COMPOSANTS!B:B,A119,COMPOSANTS!G:G,"Défectueux")</f>
        <v/>
      </c>
    </row>
    <row r="120" ht="15" customHeight="1" s="59">
      <c r="J120" s="91" t="n"/>
      <c r="L120" s="91" t="n"/>
      <c r="N120" s="91" t="n"/>
      <c r="O120" s="91" t="n"/>
      <c r="S120" s="97">
        <f>COUNTIF(COMPOSANTS!B:B,A120)</f>
        <v/>
      </c>
      <c r="T120" s="97">
        <f>COUNTIFS(COMPOSANTS!B:B,A120,COMPOSANTS!G:G,"Défectueux")</f>
        <v/>
      </c>
    </row>
    <row r="121" ht="15" customHeight="1" s="59">
      <c r="J121" s="91" t="n"/>
      <c r="L121" s="91" t="n"/>
      <c r="N121" s="91" t="n"/>
      <c r="O121" s="91" t="n"/>
      <c r="S121" s="97">
        <f>COUNTIF(COMPOSANTS!B:B,A121)</f>
        <v/>
      </c>
      <c r="T121" s="97">
        <f>COUNTIFS(COMPOSANTS!B:B,A121,COMPOSANTS!G:G,"Défectueux")</f>
        <v/>
      </c>
    </row>
    <row r="122" ht="15" customHeight="1" s="59">
      <c r="J122" s="91" t="n"/>
      <c r="L122" s="91" t="n"/>
      <c r="N122" s="91" t="n"/>
      <c r="O122" s="91" t="n"/>
      <c r="S122" s="97">
        <f>COUNTIF(COMPOSANTS!B:B,A122)</f>
        <v/>
      </c>
      <c r="T122" s="97">
        <f>COUNTIFS(COMPOSANTS!B:B,A122,COMPOSANTS!G:G,"Défectueux")</f>
        <v/>
      </c>
    </row>
    <row r="123" ht="15" customHeight="1" s="59">
      <c r="J123" s="91" t="n"/>
      <c r="L123" s="91" t="n"/>
      <c r="N123" s="91" t="n"/>
      <c r="O123" s="91" t="n"/>
      <c r="S123" s="97">
        <f>COUNTIF(COMPOSANTS!B:B,A123)</f>
        <v/>
      </c>
      <c r="T123" s="97">
        <f>COUNTIFS(COMPOSANTS!B:B,A123,COMPOSANTS!G:G,"Défectueux")</f>
        <v/>
      </c>
    </row>
    <row r="124" ht="15" customHeight="1" s="59">
      <c r="J124" s="91" t="n"/>
      <c r="L124" s="91" t="n"/>
      <c r="N124" s="91" t="n"/>
      <c r="O124" s="91" t="n"/>
      <c r="S124" s="97">
        <f>COUNTIF(COMPOSANTS!B:B,A124)</f>
        <v/>
      </c>
      <c r="T124" s="97">
        <f>COUNTIFS(COMPOSANTS!B:B,A124,COMPOSANTS!G:G,"Défectueux")</f>
        <v/>
      </c>
    </row>
    <row r="125" ht="15" customHeight="1" s="59">
      <c r="J125" s="91" t="n"/>
      <c r="L125" s="91" t="n"/>
      <c r="N125" s="91" t="n"/>
      <c r="O125" s="91" t="n"/>
      <c r="S125" s="97">
        <f>COUNTIF(COMPOSANTS!B:B,A125)</f>
        <v/>
      </c>
      <c r="T125" s="97">
        <f>COUNTIFS(COMPOSANTS!B:B,A125,COMPOSANTS!G:G,"Défectueux")</f>
        <v/>
      </c>
    </row>
    <row r="126" ht="15" customHeight="1" s="59">
      <c r="J126" s="91" t="n"/>
      <c r="L126" s="91" t="n"/>
      <c r="N126" s="91" t="n"/>
      <c r="O126" s="91" t="n"/>
      <c r="S126" s="97">
        <f>COUNTIF(COMPOSANTS!B:B,A126)</f>
        <v/>
      </c>
      <c r="T126" s="97">
        <f>COUNTIFS(COMPOSANTS!B:B,A126,COMPOSANTS!G:G,"Défectueux")</f>
        <v/>
      </c>
    </row>
    <row r="127" ht="15" customHeight="1" s="59">
      <c r="J127" s="91" t="n"/>
      <c r="L127" s="91" t="n"/>
      <c r="N127" s="91" t="n"/>
      <c r="O127" s="91" t="n"/>
      <c r="S127" s="97">
        <f>COUNTIF(COMPOSANTS!B:B,A127)</f>
        <v/>
      </c>
      <c r="T127" s="97">
        <f>COUNTIFS(COMPOSANTS!B:B,A127,COMPOSANTS!G:G,"Défectueux")</f>
        <v/>
      </c>
    </row>
    <row r="128" ht="15" customHeight="1" s="59">
      <c r="J128" s="91" t="n"/>
      <c r="L128" s="91" t="n"/>
      <c r="N128" s="91" t="n"/>
      <c r="O128" s="91" t="n"/>
      <c r="S128" s="97">
        <f>COUNTIF(COMPOSANTS!B:B,A128)</f>
        <v/>
      </c>
      <c r="T128" s="97">
        <f>COUNTIFS(COMPOSANTS!B:B,A128,COMPOSANTS!G:G,"Défectueux")</f>
        <v/>
      </c>
    </row>
    <row r="129" ht="15" customHeight="1" s="59">
      <c r="J129" s="91" t="n"/>
      <c r="L129" s="91" t="n"/>
      <c r="N129" s="91" t="n"/>
      <c r="O129" s="91" t="n"/>
      <c r="S129" s="97">
        <f>COUNTIF(COMPOSANTS!B:B,A129)</f>
        <v/>
      </c>
      <c r="T129" s="97">
        <f>COUNTIFS(COMPOSANTS!B:B,A129,COMPOSANTS!G:G,"Défectueux")</f>
        <v/>
      </c>
    </row>
    <row r="130" ht="15" customHeight="1" s="59">
      <c r="J130" s="91" t="n"/>
      <c r="L130" s="91" t="n"/>
      <c r="N130" s="91" t="n"/>
      <c r="O130" s="91" t="n"/>
      <c r="S130" s="97">
        <f>COUNTIF(COMPOSANTS!B:B,A130)</f>
        <v/>
      </c>
      <c r="T130" s="97">
        <f>COUNTIFS(COMPOSANTS!B:B,A130,COMPOSANTS!G:G,"Défectueux")</f>
        <v/>
      </c>
    </row>
    <row r="131" ht="15" customHeight="1" s="59">
      <c r="J131" s="91" t="n"/>
      <c r="L131" s="91" t="n"/>
      <c r="N131" s="91" t="n"/>
      <c r="O131" s="91" t="n"/>
      <c r="S131" s="97">
        <f>COUNTIF(COMPOSANTS!B:B,A131)</f>
        <v/>
      </c>
      <c r="T131" s="97">
        <f>COUNTIFS(COMPOSANTS!B:B,A131,COMPOSANTS!G:G,"Défectueux")</f>
        <v/>
      </c>
    </row>
    <row r="132" ht="15" customHeight="1" s="59">
      <c r="J132" s="91" t="n"/>
      <c r="L132" s="91" t="n"/>
      <c r="N132" s="91" t="n"/>
      <c r="O132" s="91" t="n"/>
      <c r="S132" s="97">
        <f>COUNTIF(COMPOSANTS!B:B,A132)</f>
        <v/>
      </c>
      <c r="T132" s="97">
        <f>COUNTIFS(COMPOSANTS!B:B,A132,COMPOSANTS!G:G,"Défectueux")</f>
        <v/>
      </c>
    </row>
    <row r="133" ht="15" customHeight="1" s="59">
      <c r="J133" s="91" t="n"/>
      <c r="L133" s="91" t="n"/>
      <c r="N133" s="91" t="n"/>
      <c r="O133" s="91" t="n"/>
      <c r="S133" s="97">
        <f>COUNTIF(COMPOSANTS!B:B,A133)</f>
        <v/>
      </c>
      <c r="T133" s="97">
        <f>COUNTIFS(COMPOSANTS!B:B,A133,COMPOSANTS!G:G,"Défectueux")</f>
        <v/>
      </c>
    </row>
    <row r="134" ht="15" customHeight="1" s="59">
      <c r="J134" s="91" t="n"/>
      <c r="L134" s="91" t="n"/>
      <c r="N134" s="91" t="n"/>
      <c r="O134" s="91" t="n"/>
      <c r="S134" s="97">
        <f>COUNTIF(COMPOSANTS!B:B,A134)</f>
        <v/>
      </c>
      <c r="T134" s="97">
        <f>COUNTIFS(COMPOSANTS!B:B,A134,COMPOSANTS!G:G,"Défectueux")</f>
        <v/>
      </c>
    </row>
    <row r="135" ht="15" customHeight="1" s="59">
      <c r="J135" s="91" t="n"/>
      <c r="L135" s="91" t="n"/>
      <c r="N135" s="91" t="n"/>
      <c r="O135" s="91" t="n"/>
      <c r="S135" s="97">
        <f>COUNTIF(COMPOSANTS!B:B,A135)</f>
        <v/>
      </c>
      <c r="T135" s="97">
        <f>COUNTIFS(COMPOSANTS!B:B,A135,COMPOSANTS!G:G,"Défectueux")</f>
        <v/>
      </c>
    </row>
    <row r="136" ht="15" customHeight="1" s="59">
      <c r="J136" s="91" t="n"/>
      <c r="L136" s="91" t="n"/>
      <c r="N136" s="91" t="n"/>
      <c r="O136" s="91" t="n"/>
      <c r="S136" s="97">
        <f>COUNTIF(COMPOSANTS!B:B,A136)</f>
        <v/>
      </c>
      <c r="T136" s="97">
        <f>COUNTIFS(COMPOSANTS!B:B,A136,COMPOSANTS!G:G,"Défectueux")</f>
        <v/>
      </c>
    </row>
    <row r="137" ht="15" customHeight="1" s="59">
      <c r="J137" s="91" t="n"/>
      <c r="L137" s="91" t="n"/>
      <c r="N137" s="91" t="n"/>
      <c r="O137" s="91" t="n"/>
      <c r="S137" s="97">
        <f>COUNTIF(COMPOSANTS!B:B,A137)</f>
        <v/>
      </c>
      <c r="T137" s="97">
        <f>COUNTIFS(COMPOSANTS!B:B,A137,COMPOSANTS!G:G,"Défectueux")</f>
        <v/>
      </c>
    </row>
    <row r="138" ht="15" customHeight="1" s="59">
      <c r="J138" s="91" t="n"/>
      <c r="L138" s="91" t="n"/>
      <c r="N138" s="91" t="n"/>
      <c r="O138" s="91" t="n"/>
      <c r="S138" s="97">
        <f>COUNTIF(COMPOSANTS!B:B,A138)</f>
        <v/>
      </c>
      <c r="T138" s="97">
        <f>COUNTIFS(COMPOSANTS!B:B,A138,COMPOSANTS!G:G,"Défectueux")</f>
        <v/>
      </c>
    </row>
    <row r="139" ht="15" customHeight="1" s="59">
      <c r="J139" s="91" t="n"/>
      <c r="L139" s="91" t="n"/>
      <c r="N139" s="91" t="n"/>
      <c r="O139" s="91" t="n"/>
      <c r="S139" s="97">
        <f>COUNTIF(COMPOSANTS!B:B,A139)</f>
        <v/>
      </c>
      <c r="T139" s="97">
        <f>COUNTIFS(COMPOSANTS!B:B,A139,COMPOSANTS!G:G,"Défectueux")</f>
        <v/>
      </c>
    </row>
    <row r="140" ht="15" customHeight="1" s="59">
      <c r="J140" s="91" t="n"/>
      <c r="L140" s="91" t="n"/>
      <c r="N140" s="91" t="n"/>
      <c r="O140" s="91" t="n"/>
      <c r="S140" s="97">
        <f>COUNTIF(COMPOSANTS!B:B,A140)</f>
        <v/>
      </c>
      <c r="T140" s="97">
        <f>COUNTIFS(COMPOSANTS!B:B,A140,COMPOSANTS!G:G,"Défectueux")</f>
        <v/>
      </c>
    </row>
    <row r="141" ht="15" customHeight="1" s="59">
      <c r="J141" s="91" t="n"/>
      <c r="L141" s="91" t="n"/>
      <c r="N141" s="91" t="n"/>
      <c r="O141" s="91" t="n"/>
      <c r="S141" s="97">
        <f>COUNTIF(COMPOSANTS!B:B,A141)</f>
        <v/>
      </c>
      <c r="T141" s="97">
        <f>COUNTIFS(COMPOSANTS!B:B,A141,COMPOSANTS!G:G,"Défectueux")</f>
        <v/>
      </c>
    </row>
    <row r="142" ht="15" customHeight="1" s="59">
      <c r="J142" s="91" t="n"/>
      <c r="L142" s="91" t="n"/>
      <c r="N142" s="91" t="n"/>
      <c r="O142" s="91" t="n"/>
      <c r="S142" s="97">
        <f>COUNTIF(COMPOSANTS!B:B,A142)</f>
        <v/>
      </c>
      <c r="T142" s="97">
        <f>COUNTIFS(COMPOSANTS!B:B,A142,COMPOSANTS!G:G,"Défectueux")</f>
        <v/>
      </c>
    </row>
    <row r="143" ht="15" customHeight="1" s="59">
      <c r="J143" s="91" t="n"/>
      <c r="L143" s="91" t="n"/>
      <c r="N143" s="91" t="n"/>
      <c r="O143" s="91" t="n"/>
      <c r="S143" s="97">
        <f>COUNTIF(COMPOSANTS!B:B,A143)</f>
        <v/>
      </c>
      <c r="T143" s="97">
        <f>COUNTIFS(COMPOSANTS!B:B,A143,COMPOSANTS!G:G,"Défectueux")</f>
        <v/>
      </c>
    </row>
    <row r="144" ht="15" customHeight="1" s="59">
      <c r="J144" s="91" t="n"/>
      <c r="L144" s="91" t="n"/>
      <c r="N144" s="91" t="n"/>
      <c r="O144" s="91" t="n"/>
      <c r="S144" s="97">
        <f>COUNTIF(COMPOSANTS!B:B,A144)</f>
        <v/>
      </c>
      <c r="T144" s="97">
        <f>COUNTIFS(COMPOSANTS!B:B,A144,COMPOSANTS!G:G,"Défectueux")</f>
        <v/>
      </c>
    </row>
    <row r="145" ht="15" customHeight="1" s="59">
      <c r="J145" s="91" t="n"/>
      <c r="L145" s="91" t="n"/>
      <c r="N145" s="91" t="n"/>
      <c r="O145" s="91" t="n"/>
      <c r="S145" s="97">
        <f>COUNTIF(COMPOSANTS!B:B,A145)</f>
        <v/>
      </c>
      <c r="T145" s="97">
        <f>COUNTIFS(COMPOSANTS!B:B,A145,COMPOSANTS!G:G,"Défectueux")</f>
        <v/>
      </c>
    </row>
    <row r="146" ht="15" customHeight="1" s="59">
      <c r="J146" s="91" t="n"/>
      <c r="L146" s="91" t="n"/>
      <c r="N146" s="91" t="n"/>
      <c r="O146" s="91" t="n"/>
      <c r="S146" s="97">
        <f>COUNTIF(COMPOSANTS!B:B,A146)</f>
        <v/>
      </c>
      <c r="T146" s="97">
        <f>COUNTIFS(COMPOSANTS!B:B,A146,COMPOSANTS!G:G,"Défectueux")</f>
        <v/>
      </c>
    </row>
    <row r="147" ht="15" customHeight="1" s="59">
      <c r="J147" s="91" t="n"/>
      <c r="L147" s="91" t="n"/>
      <c r="N147" s="91" t="n"/>
      <c r="O147" s="91" t="n"/>
      <c r="S147" s="97">
        <f>COUNTIF(COMPOSANTS!B:B,A147)</f>
        <v/>
      </c>
      <c r="T147" s="97">
        <f>COUNTIFS(COMPOSANTS!B:B,A147,COMPOSANTS!G:G,"Défectueux")</f>
        <v/>
      </c>
    </row>
    <row r="148" ht="15" customHeight="1" s="59">
      <c r="J148" s="91" t="n"/>
      <c r="L148" s="91" t="n"/>
      <c r="N148" s="91" t="n"/>
      <c r="O148" s="91" t="n"/>
      <c r="S148" s="97">
        <f>COUNTIF(COMPOSANTS!B:B,A148)</f>
        <v/>
      </c>
      <c r="T148" s="97">
        <f>COUNTIFS(COMPOSANTS!B:B,A148,COMPOSANTS!G:G,"Défectueux")</f>
        <v/>
      </c>
    </row>
    <row r="149" ht="15" customHeight="1" s="59">
      <c r="J149" s="91" t="n"/>
      <c r="L149" s="91" t="n"/>
      <c r="N149" s="91" t="n"/>
      <c r="O149" s="91" t="n"/>
      <c r="S149" s="97">
        <f>COUNTIF(COMPOSANTS!B:B,A149)</f>
        <v/>
      </c>
      <c r="T149" s="97">
        <f>COUNTIFS(COMPOSANTS!B:B,A149,COMPOSANTS!G:G,"Défectueux")</f>
        <v/>
      </c>
    </row>
    <row r="150" ht="15" customHeight="1" s="59">
      <c r="J150" s="91" t="n"/>
      <c r="L150" s="91" t="n"/>
      <c r="N150" s="91" t="n"/>
      <c r="O150" s="91" t="n"/>
      <c r="S150" s="97">
        <f>COUNTIF(COMPOSANTS!B:B,A150)</f>
        <v/>
      </c>
      <c r="T150" s="97">
        <f>COUNTIFS(COMPOSANTS!B:B,A150,COMPOSANTS!G:G,"Défectueux")</f>
        <v/>
      </c>
    </row>
    <row r="151" ht="15" customHeight="1" s="59">
      <c r="J151" s="91" t="n"/>
      <c r="L151" s="91" t="n"/>
      <c r="N151" s="91" t="n"/>
      <c r="O151" s="91" t="n"/>
      <c r="S151" s="97">
        <f>COUNTIF(COMPOSANTS!B:B,A151)</f>
        <v/>
      </c>
      <c r="T151" s="97">
        <f>COUNTIFS(COMPOSANTS!B:B,A151,COMPOSANTS!G:G,"Défectueux")</f>
        <v/>
      </c>
    </row>
    <row r="152" ht="15" customHeight="1" s="59">
      <c r="J152" s="91" t="n"/>
      <c r="L152" s="91" t="n"/>
      <c r="N152" s="91" t="n"/>
      <c r="O152" s="91" t="n"/>
      <c r="S152" s="97">
        <f>COUNTIF(COMPOSANTS!B:B,A152)</f>
        <v/>
      </c>
      <c r="T152" s="97">
        <f>COUNTIFS(COMPOSANTS!B:B,A152,COMPOSANTS!G:G,"Défectueux")</f>
        <v/>
      </c>
    </row>
    <row r="153" ht="15" customHeight="1" s="59">
      <c r="J153" s="91" t="n"/>
      <c r="L153" s="91" t="n"/>
      <c r="N153" s="91" t="n"/>
      <c r="O153" s="91" t="n"/>
      <c r="S153" s="97">
        <f>COUNTIF(COMPOSANTS!B:B,A153)</f>
        <v/>
      </c>
      <c r="T153" s="97">
        <f>COUNTIFS(COMPOSANTS!B:B,A153,COMPOSANTS!G:G,"Défectueux")</f>
        <v/>
      </c>
    </row>
    <row r="154" ht="15" customHeight="1" s="59">
      <c r="J154" s="91" t="n"/>
      <c r="L154" s="91" t="n"/>
      <c r="N154" s="91" t="n"/>
      <c r="O154" s="91" t="n"/>
      <c r="S154" s="97">
        <f>COUNTIF(COMPOSANTS!B:B,A154)</f>
        <v/>
      </c>
      <c r="T154" s="97">
        <f>COUNTIFS(COMPOSANTS!B:B,A154,COMPOSANTS!G:G,"Défectueux")</f>
        <v/>
      </c>
    </row>
    <row r="155" ht="15" customHeight="1" s="59">
      <c r="J155" s="91" t="n"/>
      <c r="L155" s="91" t="n"/>
      <c r="N155" s="91" t="n"/>
      <c r="O155" s="91" t="n"/>
      <c r="S155" s="97">
        <f>COUNTIF(COMPOSANTS!B:B,A155)</f>
        <v/>
      </c>
      <c r="T155" s="97">
        <f>COUNTIFS(COMPOSANTS!B:B,A155,COMPOSANTS!G:G,"Défectueux")</f>
        <v/>
      </c>
    </row>
    <row r="156" ht="15" customHeight="1" s="59">
      <c r="J156" s="91" t="n"/>
      <c r="L156" s="91" t="n"/>
      <c r="N156" s="91" t="n"/>
      <c r="O156" s="91" t="n"/>
      <c r="S156" s="97">
        <f>COUNTIF(COMPOSANTS!B:B,A156)</f>
        <v/>
      </c>
      <c r="T156" s="97">
        <f>COUNTIFS(COMPOSANTS!B:B,A156,COMPOSANTS!G:G,"Défectueux")</f>
        <v/>
      </c>
    </row>
    <row r="157" ht="15" customHeight="1" s="59">
      <c r="J157" s="91" t="n"/>
      <c r="L157" s="91" t="n"/>
      <c r="N157" s="91" t="n"/>
      <c r="O157" s="91" t="n"/>
      <c r="S157" s="97">
        <f>COUNTIF(COMPOSANTS!B:B,A157)</f>
        <v/>
      </c>
      <c r="T157" s="97">
        <f>COUNTIFS(COMPOSANTS!B:B,A157,COMPOSANTS!G:G,"Défectueux")</f>
        <v/>
      </c>
    </row>
    <row r="158" ht="15" customHeight="1" s="59">
      <c r="J158" s="91" t="n"/>
      <c r="L158" s="91" t="n"/>
      <c r="N158" s="91" t="n"/>
      <c r="O158" s="91" t="n"/>
      <c r="S158" s="97">
        <f>COUNTIF(COMPOSANTS!B:B,A158)</f>
        <v/>
      </c>
      <c r="T158" s="97">
        <f>COUNTIFS(COMPOSANTS!B:B,A158,COMPOSANTS!G:G,"Défectueux")</f>
        <v/>
      </c>
    </row>
    <row r="159" ht="15" customHeight="1" s="59">
      <c r="J159" s="91" t="n"/>
      <c r="L159" s="91" t="n"/>
      <c r="N159" s="91" t="n"/>
      <c r="O159" s="91" t="n"/>
      <c r="S159" s="97">
        <f>COUNTIF(COMPOSANTS!B:B,A159)</f>
        <v/>
      </c>
      <c r="T159" s="97">
        <f>COUNTIFS(COMPOSANTS!B:B,A159,COMPOSANTS!G:G,"Défectueux")</f>
        <v/>
      </c>
    </row>
    <row r="160" ht="15" customHeight="1" s="59">
      <c r="J160" s="91" t="n"/>
      <c r="L160" s="91" t="n"/>
      <c r="N160" s="91" t="n"/>
      <c r="O160" s="91" t="n"/>
      <c r="S160" s="97">
        <f>COUNTIF(COMPOSANTS!B:B,A160)</f>
        <v/>
      </c>
      <c r="T160" s="97">
        <f>COUNTIFS(COMPOSANTS!B:B,A160,COMPOSANTS!G:G,"Défectueux")</f>
        <v/>
      </c>
    </row>
    <row r="161" ht="15" customHeight="1" s="59">
      <c r="J161" s="91" t="n"/>
      <c r="L161" s="91" t="n"/>
      <c r="N161" s="91" t="n"/>
      <c r="O161" s="91" t="n"/>
      <c r="S161" s="97">
        <f>COUNTIF(COMPOSANTS!B:B,A161)</f>
        <v/>
      </c>
      <c r="T161" s="97">
        <f>COUNTIFS(COMPOSANTS!B:B,A161,COMPOSANTS!G:G,"Défectueux")</f>
        <v/>
      </c>
    </row>
    <row r="162" ht="15" customHeight="1" s="59">
      <c r="J162" s="91" t="n"/>
      <c r="L162" s="91" t="n"/>
      <c r="N162" s="91" t="n"/>
      <c r="O162" s="91" t="n"/>
      <c r="S162" s="97">
        <f>COUNTIF(COMPOSANTS!B:B,A162)</f>
        <v/>
      </c>
      <c r="T162" s="97">
        <f>COUNTIFS(COMPOSANTS!B:B,A162,COMPOSANTS!G:G,"Défectueux")</f>
        <v/>
      </c>
    </row>
    <row r="163" ht="15" customHeight="1" s="59">
      <c r="J163" s="91" t="n"/>
      <c r="L163" s="91" t="n"/>
      <c r="N163" s="91" t="n"/>
      <c r="O163" s="91" t="n"/>
      <c r="S163" s="97">
        <f>COUNTIF(COMPOSANTS!B:B,A163)</f>
        <v/>
      </c>
      <c r="T163" s="97">
        <f>COUNTIFS(COMPOSANTS!B:B,A163,COMPOSANTS!G:G,"Défectueux")</f>
        <v/>
      </c>
    </row>
    <row r="164" ht="15" customHeight="1" s="59">
      <c r="J164" s="91" t="n"/>
      <c r="L164" s="91" t="n"/>
      <c r="N164" s="91" t="n"/>
      <c r="O164" s="91" t="n"/>
      <c r="S164" s="97">
        <f>COUNTIF(COMPOSANTS!B:B,A164)</f>
        <v/>
      </c>
      <c r="T164" s="97">
        <f>COUNTIFS(COMPOSANTS!B:B,A164,COMPOSANTS!G:G,"Défectueux")</f>
        <v/>
      </c>
    </row>
    <row r="165" ht="15" customHeight="1" s="59">
      <c r="J165" s="91" t="n"/>
      <c r="L165" s="91" t="n"/>
      <c r="N165" s="91" t="n"/>
      <c r="O165" s="91" t="n"/>
      <c r="S165" s="97">
        <f>COUNTIF(COMPOSANTS!B:B,A165)</f>
        <v/>
      </c>
      <c r="T165" s="97">
        <f>COUNTIFS(COMPOSANTS!B:B,A165,COMPOSANTS!G:G,"Défectueux")</f>
        <v/>
      </c>
    </row>
    <row r="166" ht="15" customHeight="1" s="59">
      <c r="J166" s="91" t="n"/>
      <c r="L166" s="91" t="n"/>
      <c r="N166" s="91" t="n"/>
      <c r="O166" s="91" t="n"/>
      <c r="S166" s="97">
        <f>COUNTIF(COMPOSANTS!B:B,A166)</f>
        <v/>
      </c>
      <c r="T166" s="97">
        <f>COUNTIFS(COMPOSANTS!B:B,A166,COMPOSANTS!G:G,"Défectueux")</f>
        <v/>
      </c>
    </row>
    <row r="167" ht="15" customHeight="1" s="59">
      <c r="J167" s="91" t="n"/>
      <c r="L167" s="91" t="n"/>
      <c r="N167" s="91" t="n"/>
      <c r="O167" s="91" t="n"/>
      <c r="S167" s="97">
        <f>COUNTIF(COMPOSANTS!B:B,A167)</f>
        <v/>
      </c>
      <c r="T167" s="97">
        <f>COUNTIFS(COMPOSANTS!B:B,A167,COMPOSANTS!G:G,"Défectueux")</f>
        <v/>
      </c>
    </row>
    <row r="168" ht="15" customHeight="1" s="59">
      <c r="J168" s="91" t="n"/>
      <c r="L168" s="91" t="n"/>
      <c r="N168" s="91" t="n"/>
      <c r="O168" s="91" t="n"/>
      <c r="S168" s="97">
        <f>COUNTIF(COMPOSANTS!B:B,A168)</f>
        <v/>
      </c>
      <c r="T168" s="97">
        <f>COUNTIFS(COMPOSANTS!B:B,A168,COMPOSANTS!G:G,"Défectueux")</f>
        <v/>
      </c>
    </row>
    <row r="169" ht="15" customHeight="1" s="59">
      <c r="J169" s="91" t="n"/>
      <c r="L169" s="91" t="n"/>
      <c r="N169" s="91" t="n"/>
      <c r="O169" s="91" t="n"/>
      <c r="S169" s="97">
        <f>COUNTIF(COMPOSANTS!B:B,A169)</f>
        <v/>
      </c>
      <c r="T169" s="97">
        <f>COUNTIFS(COMPOSANTS!B:B,A169,COMPOSANTS!G:G,"Défectueux")</f>
        <v/>
      </c>
    </row>
    <row r="170" ht="15" customHeight="1" s="59">
      <c r="J170" s="91" t="n"/>
      <c r="L170" s="91" t="n"/>
      <c r="N170" s="91" t="n"/>
      <c r="O170" s="91" t="n"/>
      <c r="S170" s="97">
        <f>COUNTIF(COMPOSANTS!B:B,A170)</f>
        <v/>
      </c>
      <c r="T170" s="97">
        <f>COUNTIFS(COMPOSANTS!B:B,A170,COMPOSANTS!G:G,"Défectueux")</f>
        <v/>
      </c>
    </row>
    <row r="171" ht="15" customHeight="1" s="59">
      <c r="J171" s="91" t="n"/>
      <c r="L171" s="91" t="n"/>
      <c r="N171" s="91" t="n"/>
      <c r="O171" s="91" t="n"/>
      <c r="S171" s="97">
        <f>COUNTIF(COMPOSANTS!B:B,A171)</f>
        <v/>
      </c>
      <c r="T171" s="97">
        <f>COUNTIFS(COMPOSANTS!B:B,A171,COMPOSANTS!G:G,"Défectueux")</f>
        <v/>
      </c>
    </row>
    <row r="172" ht="15" customHeight="1" s="59">
      <c r="J172" s="91" t="n"/>
      <c r="L172" s="91" t="n"/>
      <c r="N172" s="91" t="n"/>
      <c r="O172" s="91" t="n"/>
      <c r="S172" s="97">
        <f>COUNTIF(COMPOSANTS!B:B,A172)</f>
        <v/>
      </c>
      <c r="T172" s="97">
        <f>COUNTIFS(COMPOSANTS!B:B,A172,COMPOSANTS!G:G,"Défectueux")</f>
        <v/>
      </c>
    </row>
    <row r="173" ht="15" customHeight="1" s="59">
      <c r="J173" s="91" t="n"/>
      <c r="L173" s="91" t="n"/>
      <c r="N173" s="91" t="n"/>
      <c r="O173" s="91" t="n"/>
      <c r="S173" s="97">
        <f>COUNTIF(COMPOSANTS!B:B,A173)</f>
        <v/>
      </c>
      <c r="T173" s="97">
        <f>COUNTIFS(COMPOSANTS!B:B,A173,COMPOSANTS!G:G,"Défectueux")</f>
        <v/>
      </c>
    </row>
    <row r="174" ht="15" customHeight="1" s="59">
      <c r="J174" s="91" t="n"/>
      <c r="L174" s="91" t="n"/>
      <c r="N174" s="91" t="n"/>
      <c r="O174" s="91" t="n"/>
      <c r="S174" s="97">
        <f>COUNTIF(COMPOSANTS!B:B,A174)</f>
        <v/>
      </c>
      <c r="T174" s="97">
        <f>COUNTIFS(COMPOSANTS!B:B,A174,COMPOSANTS!G:G,"Défectueux")</f>
        <v/>
      </c>
    </row>
    <row r="175" ht="15" customHeight="1" s="59">
      <c r="J175" s="91" t="n"/>
      <c r="L175" s="91" t="n"/>
      <c r="N175" s="91" t="n"/>
      <c r="O175" s="91" t="n"/>
      <c r="S175" s="97">
        <f>COUNTIF(COMPOSANTS!B:B,A175)</f>
        <v/>
      </c>
      <c r="T175" s="97">
        <f>COUNTIFS(COMPOSANTS!B:B,A175,COMPOSANTS!G:G,"Défectueux")</f>
        <v/>
      </c>
    </row>
    <row r="176" ht="15" customHeight="1" s="59">
      <c r="J176" s="91" t="n"/>
      <c r="L176" s="91" t="n"/>
      <c r="N176" s="91" t="n"/>
      <c r="O176" s="91" t="n"/>
      <c r="S176" s="97">
        <f>COUNTIF(COMPOSANTS!B:B,A176)</f>
        <v/>
      </c>
      <c r="T176" s="97">
        <f>COUNTIFS(COMPOSANTS!B:B,A176,COMPOSANTS!G:G,"Défectueux")</f>
        <v/>
      </c>
    </row>
    <row r="177" ht="15" customHeight="1" s="59">
      <c r="J177" s="91" t="n"/>
      <c r="L177" s="91" t="n"/>
      <c r="N177" s="91" t="n"/>
      <c r="O177" s="91" t="n"/>
      <c r="S177" s="97">
        <f>COUNTIF(COMPOSANTS!B:B,A177)</f>
        <v/>
      </c>
      <c r="T177" s="97">
        <f>COUNTIFS(COMPOSANTS!B:B,A177,COMPOSANTS!G:G,"Défectueux")</f>
        <v/>
      </c>
    </row>
    <row r="178" ht="15" customHeight="1" s="59">
      <c r="J178" s="91" t="n"/>
      <c r="L178" s="91" t="n"/>
      <c r="N178" s="91" t="n"/>
      <c r="O178" s="91" t="n"/>
      <c r="S178" s="97">
        <f>COUNTIF(COMPOSANTS!B:B,A178)</f>
        <v/>
      </c>
      <c r="T178" s="97">
        <f>COUNTIFS(COMPOSANTS!B:B,A178,COMPOSANTS!G:G,"Défectueux")</f>
        <v/>
      </c>
    </row>
    <row r="179" ht="15" customHeight="1" s="59">
      <c r="J179" s="91" t="n"/>
      <c r="L179" s="91" t="n"/>
      <c r="N179" s="91" t="n"/>
      <c r="O179" s="91" t="n"/>
      <c r="S179" s="97">
        <f>COUNTIF(COMPOSANTS!B:B,A179)</f>
        <v/>
      </c>
      <c r="T179" s="97">
        <f>COUNTIFS(COMPOSANTS!B:B,A179,COMPOSANTS!G:G,"Défectueux")</f>
        <v/>
      </c>
    </row>
    <row r="180" ht="15" customHeight="1" s="59">
      <c r="J180" s="91" t="n"/>
      <c r="L180" s="91" t="n"/>
      <c r="N180" s="91" t="n"/>
      <c r="O180" s="91" t="n"/>
      <c r="S180" s="97">
        <f>COUNTIF(COMPOSANTS!B:B,A180)</f>
        <v/>
      </c>
      <c r="T180" s="97">
        <f>COUNTIFS(COMPOSANTS!B:B,A180,COMPOSANTS!G:G,"Défectueux")</f>
        <v/>
      </c>
    </row>
    <row r="181" ht="15" customHeight="1" s="59">
      <c r="J181" s="91" t="n"/>
      <c r="L181" s="91" t="n"/>
      <c r="N181" s="91" t="n"/>
      <c r="O181" s="91" t="n"/>
      <c r="S181" s="97">
        <f>COUNTIF(COMPOSANTS!B:B,A181)</f>
        <v/>
      </c>
      <c r="T181" s="97">
        <f>COUNTIFS(COMPOSANTS!B:B,A181,COMPOSANTS!G:G,"Défectueux")</f>
        <v/>
      </c>
    </row>
    <row r="182" ht="15" customHeight="1" s="59">
      <c r="J182" s="91" t="n"/>
      <c r="L182" s="91" t="n"/>
      <c r="N182" s="91" t="n"/>
      <c r="O182" s="91" t="n"/>
      <c r="S182" s="97">
        <f>COUNTIF(COMPOSANTS!B:B,A182)</f>
        <v/>
      </c>
      <c r="T182" s="97">
        <f>COUNTIFS(COMPOSANTS!B:B,A182,COMPOSANTS!G:G,"Défectueux")</f>
        <v/>
      </c>
    </row>
    <row r="183" ht="15" customHeight="1" s="59">
      <c r="J183" s="91" t="n"/>
      <c r="L183" s="91" t="n"/>
      <c r="N183" s="91" t="n"/>
      <c r="O183" s="91" t="n"/>
      <c r="S183" s="97">
        <f>COUNTIF(COMPOSANTS!B:B,A183)</f>
        <v/>
      </c>
      <c r="T183" s="97">
        <f>COUNTIFS(COMPOSANTS!B:B,A183,COMPOSANTS!G:G,"Défectueux")</f>
        <v/>
      </c>
    </row>
    <row r="184" ht="15" customHeight="1" s="59">
      <c r="J184" s="91" t="n"/>
      <c r="L184" s="91" t="n"/>
      <c r="N184" s="91" t="n"/>
      <c r="O184" s="91" t="n"/>
      <c r="S184" s="97">
        <f>COUNTIF(COMPOSANTS!B:B,A184)</f>
        <v/>
      </c>
      <c r="T184" s="97">
        <f>COUNTIFS(COMPOSANTS!B:B,A184,COMPOSANTS!G:G,"Défectueux")</f>
        <v/>
      </c>
    </row>
    <row r="185" ht="15" customHeight="1" s="59">
      <c r="J185" s="91" t="n"/>
      <c r="L185" s="91" t="n"/>
      <c r="N185" s="91" t="n"/>
      <c r="O185" s="91" t="n"/>
      <c r="S185" s="97">
        <f>COUNTIF(COMPOSANTS!B:B,A185)</f>
        <v/>
      </c>
      <c r="T185" s="97">
        <f>COUNTIFS(COMPOSANTS!B:B,A185,COMPOSANTS!G:G,"Défectueux")</f>
        <v/>
      </c>
    </row>
    <row r="186" ht="15" customHeight="1" s="59">
      <c r="J186" s="91" t="n"/>
      <c r="L186" s="91" t="n"/>
      <c r="N186" s="91" t="n"/>
      <c r="O186" s="91" t="n"/>
      <c r="S186" s="97">
        <f>COUNTIF(COMPOSANTS!B:B,A186)</f>
        <v/>
      </c>
      <c r="T186" s="97">
        <f>COUNTIFS(COMPOSANTS!B:B,A186,COMPOSANTS!G:G,"Défectueux")</f>
        <v/>
      </c>
    </row>
    <row r="187" ht="15" customHeight="1" s="59">
      <c r="J187" s="91" t="n"/>
      <c r="L187" s="91" t="n"/>
      <c r="N187" s="91" t="n"/>
      <c r="O187" s="91" t="n"/>
      <c r="S187" s="97">
        <f>COUNTIF(COMPOSANTS!B:B,A187)</f>
        <v/>
      </c>
      <c r="T187" s="97">
        <f>COUNTIFS(COMPOSANTS!B:B,A187,COMPOSANTS!G:G,"Défectueux")</f>
        <v/>
      </c>
    </row>
    <row r="188" ht="15" customHeight="1" s="59">
      <c r="J188" s="91" t="n"/>
      <c r="L188" s="91" t="n"/>
      <c r="N188" s="91" t="n"/>
      <c r="O188" s="91" t="n"/>
      <c r="S188" s="97">
        <f>COUNTIF(COMPOSANTS!B:B,A188)</f>
        <v/>
      </c>
      <c r="T188" s="97">
        <f>COUNTIFS(COMPOSANTS!B:B,A188,COMPOSANTS!G:G,"Défectueux")</f>
        <v/>
      </c>
    </row>
    <row r="189" ht="15" customHeight="1" s="59">
      <c r="J189" s="91" t="n"/>
      <c r="L189" s="91" t="n"/>
      <c r="N189" s="91" t="n"/>
      <c r="O189" s="91" t="n"/>
      <c r="S189" s="97">
        <f>COUNTIF(COMPOSANTS!B:B,A189)</f>
        <v/>
      </c>
      <c r="T189" s="97">
        <f>COUNTIFS(COMPOSANTS!B:B,A189,COMPOSANTS!G:G,"Défectueux")</f>
        <v/>
      </c>
    </row>
    <row r="190" ht="15" customHeight="1" s="59">
      <c r="J190" s="91" t="n"/>
      <c r="L190" s="91" t="n"/>
      <c r="N190" s="91" t="n"/>
      <c r="O190" s="91" t="n"/>
      <c r="S190" s="97">
        <f>COUNTIF(COMPOSANTS!B:B,A190)</f>
        <v/>
      </c>
      <c r="T190" s="97">
        <f>COUNTIFS(COMPOSANTS!B:B,A190,COMPOSANTS!G:G,"Défectueux")</f>
        <v/>
      </c>
    </row>
    <row r="191" ht="15" customHeight="1" s="59">
      <c r="J191" s="91" t="n"/>
      <c r="L191" s="91" t="n"/>
      <c r="N191" s="91" t="n"/>
      <c r="O191" s="91" t="n"/>
      <c r="S191" s="97">
        <f>COUNTIF(COMPOSANTS!B:B,A191)</f>
        <v/>
      </c>
      <c r="T191" s="97">
        <f>COUNTIFS(COMPOSANTS!B:B,A191,COMPOSANTS!G:G,"Défectueux")</f>
        <v/>
      </c>
    </row>
    <row r="192" ht="15" customHeight="1" s="59">
      <c r="J192" s="91" t="n"/>
      <c r="L192" s="91" t="n"/>
      <c r="N192" s="91" t="n"/>
      <c r="O192" s="91" t="n"/>
      <c r="S192" s="97">
        <f>COUNTIF(COMPOSANTS!B:B,A192)</f>
        <v/>
      </c>
      <c r="T192" s="97">
        <f>COUNTIFS(COMPOSANTS!B:B,A192,COMPOSANTS!G:G,"Défectueux")</f>
        <v/>
      </c>
    </row>
    <row r="193" ht="15" customHeight="1" s="59">
      <c r="J193" s="91" t="n"/>
      <c r="L193" s="91" t="n"/>
      <c r="N193" s="91" t="n"/>
      <c r="O193" s="91" t="n"/>
      <c r="S193" s="97">
        <f>COUNTIF(COMPOSANTS!B:B,A193)</f>
        <v/>
      </c>
      <c r="T193" s="97">
        <f>COUNTIFS(COMPOSANTS!B:B,A193,COMPOSANTS!G:G,"Défectueux")</f>
        <v/>
      </c>
    </row>
    <row r="194" ht="15" customHeight="1" s="59">
      <c r="J194" s="91" t="n"/>
      <c r="L194" s="91" t="n"/>
      <c r="N194" s="91" t="n"/>
      <c r="O194" s="91" t="n"/>
      <c r="S194" s="97">
        <f>COUNTIF(COMPOSANTS!B:B,A194)</f>
        <v/>
      </c>
      <c r="T194" s="97">
        <f>COUNTIFS(COMPOSANTS!B:B,A194,COMPOSANTS!G:G,"Défectueux")</f>
        <v/>
      </c>
    </row>
    <row r="195" ht="15" customHeight="1" s="59">
      <c r="J195" s="91" t="n"/>
      <c r="L195" s="91" t="n"/>
      <c r="N195" s="91" t="n"/>
      <c r="O195" s="91" t="n"/>
      <c r="S195" s="97">
        <f>COUNTIF(COMPOSANTS!B:B,A195)</f>
        <v/>
      </c>
      <c r="T195" s="97">
        <f>COUNTIFS(COMPOSANTS!B:B,A195,COMPOSANTS!G:G,"Défectueux")</f>
        <v/>
      </c>
    </row>
    <row r="196" ht="15" customHeight="1" s="59">
      <c r="J196" s="91" t="n"/>
      <c r="L196" s="91" t="n"/>
      <c r="N196" s="91" t="n"/>
      <c r="O196" s="91" t="n"/>
      <c r="S196" s="97">
        <f>COUNTIF(COMPOSANTS!B:B,A196)</f>
        <v/>
      </c>
      <c r="T196" s="97">
        <f>COUNTIFS(COMPOSANTS!B:B,A196,COMPOSANTS!G:G,"Défectueux")</f>
        <v/>
      </c>
    </row>
    <row r="197" ht="15" customHeight="1" s="59">
      <c r="J197" s="91" t="n"/>
      <c r="L197" s="91" t="n"/>
      <c r="N197" s="91" t="n"/>
      <c r="O197" s="91" t="n"/>
      <c r="S197" s="97">
        <f>COUNTIF(COMPOSANTS!B:B,A197)</f>
        <v/>
      </c>
      <c r="T197" s="97">
        <f>COUNTIFS(COMPOSANTS!B:B,A197,COMPOSANTS!G:G,"Défectueux")</f>
        <v/>
      </c>
    </row>
    <row r="198" ht="15" customHeight="1" s="59">
      <c r="J198" s="91" t="n"/>
      <c r="L198" s="91" t="n"/>
      <c r="N198" s="91" t="n"/>
      <c r="O198" s="91" t="n"/>
      <c r="S198" s="97">
        <f>COUNTIF(COMPOSANTS!B:B,A198)</f>
        <v/>
      </c>
      <c r="T198" s="97">
        <f>COUNTIFS(COMPOSANTS!B:B,A198,COMPOSANTS!G:G,"Défectueux")</f>
        <v/>
      </c>
    </row>
    <row r="199" ht="15" customHeight="1" s="59">
      <c r="J199" s="91" t="n"/>
      <c r="L199" s="91" t="n"/>
      <c r="N199" s="91" t="n"/>
      <c r="O199" s="91" t="n"/>
      <c r="S199" s="97">
        <f>COUNTIF(COMPOSANTS!B:B,A199)</f>
        <v/>
      </c>
      <c r="T199" s="97">
        <f>COUNTIFS(COMPOSANTS!B:B,A199,COMPOSANTS!G:G,"Défectueux")</f>
        <v/>
      </c>
    </row>
    <row r="200" ht="15" customHeight="1" s="59">
      <c r="J200" s="91" t="n"/>
      <c r="L200" s="91" t="n"/>
      <c r="N200" s="91" t="n"/>
      <c r="O200" s="91" t="n"/>
      <c r="S200" s="97">
        <f>COUNTIF(COMPOSANTS!B:B,A200)</f>
        <v/>
      </c>
      <c r="T200" s="97">
        <f>COUNTIFS(COMPOSANTS!B:B,A200,COMPOSANTS!G:G,"Défectueux")</f>
        <v/>
      </c>
    </row>
    <row r="201" ht="15" customHeight="1" s="59">
      <c r="J201" s="91" t="n"/>
      <c r="L201" s="91" t="n"/>
      <c r="N201" s="91" t="n"/>
      <c r="O201" s="91" t="n"/>
      <c r="S201" s="97">
        <f>COUNTIF(COMPOSANTS!B:B,A201)</f>
        <v/>
      </c>
      <c r="T201" s="97">
        <f>COUNTIFS(COMPOSANTS!B:B,A201,COMPOSANTS!G:G,"Défectueux")</f>
        <v/>
      </c>
    </row>
    <row r="202" ht="15" customHeight="1" s="59">
      <c r="J202" s="91" t="n"/>
      <c r="L202" s="91" t="n"/>
      <c r="N202" s="91" t="n"/>
      <c r="O202" s="91" t="n"/>
      <c r="S202" s="97">
        <f>COUNTIF(COMPOSANTS!B:B,A202)</f>
        <v/>
      </c>
      <c r="T202" s="97">
        <f>COUNTIFS(COMPOSANTS!B:B,A202,COMPOSANTS!G:G,"Défectueux")</f>
        <v/>
      </c>
    </row>
    <row r="203" ht="15" customHeight="1" s="59">
      <c r="J203" s="91" t="n"/>
      <c r="L203" s="91" t="n"/>
      <c r="N203" s="91" t="n"/>
      <c r="O203" s="91" t="n"/>
      <c r="S203" s="97">
        <f>COUNTIF(COMPOSANTS!B:B,A203)</f>
        <v/>
      </c>
      <c r="T203" s="97">
        <f>COUNTIFS(COMPOSANTS!B:B,A203,COMPOSANTS!G:G,"Défectueux")</f>
        <v/>
      </c>
    </row>
    <row r="204" ht="15" customHeight="1" s="59">
      <c r="J204" s="91" t="n"/>
      <c r="L204" s="91" t="n"/>
      <c r="N204" s="91" t="n"/>
      <c r="O204" s="91" t="n"/>
      <c r="S204" s="97">
        <f>COUNTIF(COMPOSANTS!B:B,A204)</f>
        <v/>
      </c>
      <c r="T204" s="97">
        <f>COUNTIFS(COMPOSANTS!B:B,A204,COMPOSANTS!G:G,"Défectueux")</f>
        <v/>
      </c>
    </row>
    <row r="205" ht="15" customHeight="1" s="59">
      <c r="J205" s="91" t="n"/>
      <c r="L205" s="91" t="n"/>
      <c r="N205" s="91" t="n"/>
      <c r="O205" s="91" t="n"/>
      <c r="S205" s="97">
        <f>COUNTIF(COMPOSANTS!B:B,A205)</f>
        <v/>
      </c>
      <c r="T205" s="97">
        <f>COUNTIFS(COMPOSANTS!B:B,A205,COMPOSANTS!G:G,"Défectueux")</f>
        <v/>
      </c>
    </row>
    <row r="206" ht="15" customHeight="1" s="59">
      <c r="J206" s="91" t="n"/>
      <c r="L206" s="91" t="n"/>
      <c r="N206" s="91" t="n"/>
      <c r="O206" s="91" t="n"/>
      <c r="S206" s="97">
        <f>COUNTIF(COMPOSANTS!B:B,A206)</f>
        <v/>
      </c>
      <c r="T206" s="97">
        <f>COUNTIFS(COMPOSANTS!B:B,A206,COMPOSANTS!G:G,"Défectueux")</f>
        <v/>
      </c>
    </row>
    <row r="207" ht="15" customHeight="1" s="59">
      <c r="J207" s="91" t="n"/>
      <c r="L207" s="91" t="n"/>
      <c r="N207" s="91" t="n"/>
      <c r="O207" s="91" t="n"/>
      <c r="S207" s="97">
        <f>COUNTIF(COMPOSANTS!B:B,A207)</f>
        <v/>
      </c>
      <c r="T207" s="97">
        <f>COUNTIFS(COMPOSANTS!B:B,A207,COMPOSANTS!G:G,"Défectueux")</f>
        <v/>
      </c>
    </row>
    <row r="208" ht="15" customHeight="1" s="59">
      <c r="J208" s="91" t="n"/>
      <c r="L208" s="91" t="n"/>
      <c r="N208" s="91" t="n"/>
      <c r="O208" s="91" t="n"/>
      <c r="S208" s="97">
        <f>COUNTIF(COMPOSANTS!B:B,A208)</f>
        <v/>
      </c>
      <c r="T208" s="97">
        <f>COUNTIFS(COMPOSANTS!B:B,A208,COMPOSANTS!G:G,"Défectueux")</f>
        <v/>
      </c>
    </row>
    <row r="209" ht="15" customHeight="1" s="59">
      <c r="J209" s="91" t="n"/>
      <c r="L209" s="91" t="n"/>
      <c r="N209" s="91" t="n"/>
      <c r="O209" s="91" t="n"/>
      <c r="S209" s="97">
        <f>COUNTIF(COMPOSANTS!B:B,A209)</f>
        <v/>
      </c>
      <c r="T209" s="97">
        <f>COUNTIFS(COMPOSANTS!B:B,A209,COMPOSANTS!G:G,"Défectueux")</f>
        <v/>
      </c>
    </row>
    <row r="210" ht="15" customHeight="1" s="59">
      <c r="J210" s="91" t="n"/>
      <c r="L210" s="91" t="n"/>
      <c r="N210" s="91" t="n"/>
      <c r="O210" s="91" t="n"/>
      <c r="S210" s="97">
        <f>COUNTIF(COMPOSANTS!B:B,A210)</f>
        <v/>
      </c>
      <c r="T210" s="97">
        <f>COUNTIFS(COMPOSANTS!B:B,A210,COMPOSANTS!G:G,"Défectueux")</f>
        <v/>
      </c>
    </row>
    <row r="211" ht="15" customHeight="1" s="59">
      <c r="J211" s="91" t="n"/>
      <c r="L211" s="91" t="n"/>
      <c r="N211" s="91" t="n"/>
      <c r="O211" s="91" t="n"/>
      <c r="S211" s="97">
        <f>COUNTIF(COMPOSANTS!B:B,A211)</f>
        <v/>
      </c>
      <c r="T211" s="97">
        <f>COUNTIFS(COMPOSANTS!B:B,A211,COMPOSANTS!G:G,"Défectueux")</f>
        <v/>
      </c>
    </row>
    <row r="212" ht="15" customHeight="1" s="59">
      <c r="J212" s="91" t="n"/>
      <c r="L212" s="91" t="n"/>
      <c r="N212" s="91" t="n"/>
      <c r="O212" s="91" t="n"/>
      <c r="S212" s="97">
        <f>COUNTIF(COMPOSANTS!B:B,A212)</f>
        <v/>
      </c>
      <c r="T212" s="97">
        <f>COUNTIFS(COMPOSANTS!B:B,A212,COMPOSANTS!G:G,"Défectueux")</f>
        <v/>
      </c>
    </row>
    <row r="213" ht="15" customHeight="1" s="59">
      <c r="J213" s="91" t="n"/>
      <c r="L213" s="91" t="n"/>
      <c r="N213" s="91" t="n"/>
      <c r="O213" s="91" t="n"/>
      <c r="S213" s="97">
        <f>COUNTIF(COMPOSANTS!B:B,A213)</f>
        <v/>
      </c>
      <c r="T213" s="97">
        <f>COUNTIFS(COMPOSANTS!B:B,A213,COMPOSANTS!G:G,"Défectueux")</f>
        <v/>
      </c>
    </row>
    <row r="214" ht="15" customHeight="1" s="59">
      <c r="J214" s="91" t="n"/>
      <c r="L214" s="91" t="n"/>
      <c r="N214" s="91" t="n"/>
      <c r="O214" s="91" t="n"/>
      <c r="S214" s="97">
        <f>COUNTIF(COMPOSANTS!B:B,A214)</f>
        <v/>
      </c>
      <c r="T214" s="97">
        <f>COUNTIFS(COMPOSANTS!B:B,A214,COMPOSANTS!G:G,"Défectueux")</f>
        <v/>
      </c>
    </row>
    <row r="215" ht="15" customHeight="1" s="59">
      <c r="J215" s="91" t="n"/>
      <c r="L215" s="91" t="n"/>
      <c r="N215" s="91" t="n"/>
      <c r="O215" s="91" t="n"/>
      <c r="S215" s="97">
        <f>COUNTIF(COMPOSANTS!B:B,A215)</f>
        <v/>
      </c>
      <c r="T215" s="97">
        <f>COUNTIFS(COMPOSANTS!B:B,A215,COMPOSANTS!G:G,"Défectueux")</f>
        <v/>
      </c>
    </row>
    <row r="216" ht="15" customHeight="1" s="59">
      <c r="J216" s="91" t="n"/>
      <c r="L216" s="91" t="n"/>
      <c r="N216" s="91" t="n"/>
      <c r="O216" s="91" t="n"/>
      <c r="S216" s="97">
        <f>COUNTIF(COMPOSANTS!B:B,A216)</f>
        <v/>
      </c>
      <c r="T216" s="97">
        <f>COUNTIFS(COMPOSANTS!B:B,A216,COMPOSANTS!G:G,"Défectueux")</f>
        <v/>
      </c>
    </row>
    <row r="217" ht="15" customHeight="1" s="59">
      <c r="J217" s="91" t="n"/>
      <c r="L217" s="91" t="n"/>
      <c r="N217" s="91" t="n"/>
      <c r="O217" s="91" t="n"/>
      <c r="S217" s="97">
        <f>COUNTIF(COMPOSANTS!B:B,A217)</f>
        <v/>
      </c>
      <c r="T217" s="97">
        <f>COUNTIFS(COMPOSANTS!B:B,A217,COMPOSANTS!G:G,"Défectueux")</f>
        <v/>
      </c>
    </row>
    <row r="218" ht="15" customHeight="1" s="59">
      <c r="J218" s="91" t="n"/>
      <c r="L218" s="91" t="n"/>
      <c r="N218" s="91" t="n"/>
      <c r="O218" s="91" t="n"/>
      <c r="S218" s="97">
        <f>COUNTIF(COMPOSANTS!B:B,A218)</f>
        <v/>
      </c>
      <c r="T218" s="97">
        <f>COUNTIFS(COMPOSANTS!B:B,A218,COMPOSANTS!G:G,"Défectueux")</f>
        <v/>
      </c>
    </row>
    <row r="219" ht="15" customHeight="1" s="59">
      <c r="J219" s="91" t="n"/>
      <c r="L219" s="91" t="n"/>
      <c r="N219" s="91" t="n"/>
      <c r="O219" s="91" t="n"/>
      <c r="S219" s="97">
        <f>COUNTIF(COMPOSANTS!B:B,A219)</f>
        <v/>
      </c>
      <c r="T219" s="97">
        <f>COUNTIFS(COMPOSANTS!B:B,A219,COMPOSANTS!G:G,"Défectueux")</f>
        <v/>
      </c>
    </row>
    <row r="220" ht="15" customHeight="1" s="59">
      <c r="J220" s="91" t="n"/>
      <c r="L220" s="91" t="n"/>
      <c r="N220" s="91" t="n"/>
      <c r="O220" s="91" t="n"/>
      <c r="S220" s="97">
        <f>COUNTIF(COMPOSANTS!B:B,A220)</f>
        <v/>
      </c>
      <c r="T220" s="97">
        <f>COUNTIFS(COMPOSANTS!B:B,A220,COMPOSANTS!G:G,"Défectueux")</f>
        <v/>
      </c>
    </row>
    <row r="221" ht="15" customHeight="1" s="59">
      <c r="J221" s="91" t="n"/>
      <c r="L221" s="91" t="n"/>
      <c r="N221" s="91" t="n"/>
      <c r="O221" s="91" t="n"/>
      <c r="S221" s="97">
        <f>COUNTIF(COMPOSANTS!B:B,A221)</f>
        <v/>
      </c>
      <c r="T221" s="97">
        <f>COUNTIFS(COMPOSANTS!B:B,A221,COMPOSANTS!G:G,"Défectueux")</f>
        <v/>
      </c>
    </row>
    <row r="222" ht="15" customHeight="1" s="59">
      <c r="J222" s="91" t="n"/>
      <c r="L222" s="91" t="n"/>
      <c r="N222" s="91" t="n"/>
      <c r="O222" s="91" t="n"/>
      <c r="S222" s="97">
        <f>COUNTIF(COMPOSANTS!B:B,A222)</f>
        <v/>
      </c>
      <c r="T222" s="97">
        <f>COUNTIFS(COMPOSANTS!B:B,A222,COMPOSANTS!G:G,"Défectueux")</f>
        <v/>
      </c>
    </row>
    <row r="223" ht="15" customHeight="1" s="59">
      <c r="J223" s="91" t="n"/>
      <c r="L223" s="91" t="n"/>
      <c r="N223" s="91" t="n"/>
      <c r="O223" s="91" t="n"/>
      <c r="S223" s="97">
        <f>COUNTIF(COMPOSANTS!B:B,A223)</f>
        <v/>
      </c>
      <c r="T223" s="97">
        <f>COUNTIFS(COMPOSANTS!B:B,A223,COMPOSANTS!G:G,"Défectueux")</f>
        <v/>
      </c>
    </row>
    <row r="224" ht="15" customHeight="1" s="59">
      <c r="J224" s="91" t="n"/>
      <c r="L224" s="91" t="n"/>
      <c r="N224" s="91" t="n"/>
      <c r="O224" s="91" t="n"/>
      <c r="S224" s="97">
        <f>COUNTIF(COMPOSANTS!B:B,A224)</f>
        <v/>
      </c>
      <c r="T224" s="97">
        <f>COUNTIFS(COMPOSANTS!B:B,A224,COMPOSANTS!G:G,"Défectueux")</f>
        <v/>
      </c>
    </row>
    <row r="225" ht="15" customHeight="1" s="59">
      <c r="J225" s="91" t="n"/>
      <c r="L225" s="91" t="n"/>
      <c r="N225" s="91" t="n"/>
      <c r="O225" s="91" t="n"/>
      <c r="S225" s="97">
        <f>COUNTIF(COMPOSANTS!B:B,A225)</f>
        <v/>
      </c>
      <c r="T225" s="97">
        <f>COUNTIFS(COMPOSANTS!B:B,A225,COMPOSANTS!G:G,"Défectueux")</f>
        <v/>
      </c>
    </row>
    <row r="226" ht="15" customHeight="1" s="59">
      <c r="J226" s="91" t="n"/>
      <c r="L226" s="91" t="n"/>
      <c r="N226" s="91" t="n"/>
      <c r="O226" s="91" t="n"/>
      <c r="S226" s="97">
        <f>COUNTIF(COMPOSANTS!B:B,A226)</f>
        <v/>
      </c>
      <c r="T226" s="97">
        <f>COUNTIFS(COMPOSANTS!B:B,A226,COMPOSANTS!G:G,"Défectueux")</f>
        <v/>
      </c>
    </row>
    <row r="227" ht="15" customHeight="1" s="59">
      <c r="J227" s="91" t="n"/>
      <c r="L227" s="91" t="n"/>
      <c r="N227" s="91" t="n"/>
      <c r="O227" s="91" t="n"/>
      <c r="S227" s="97">
        <f>COUNTIF(COMPOSANTS!B:B,A227)</f>
        <v/>
      </c>
      <c r="T227" s="97">
        <f>COUNTIFS(COMPOSANTS!B:B,A227,COMPOSANTS!G:G,"Défectueux")</f>
        <v/>
      </c>
    </row>
    <row r="228" ht="15" customHeight="1" s="59">
      <c r="J228" s="91" t="n"/>
      <c r="L228" s="91" t="n"/>
      <c r="N228" s="91" t="n"/>
      <c r="O228" s="91" t="n"/>
      <c r="S228" s="97">
        <f>COUNTIF(COMPOSANTS!B:B,A228)</f>
        <v/>
      </c>
      <c r="T228" s="97">
        <f>COUNTIFS(COMPOSANTS!B:B,A228,COMPOSANTS!G:G,"Défectueux")</f>
        <v/>
      </c>
    </row>
    <row r="229" ht="15" customHeight="1" s="59">
      <c r="J229" s="91" t="n"/>
      <c r="L229" s="91" t="n"/>
      <c r="N229" s="91" t="n"/>
      <c r="O229" s="91" t="n"/>
      <c r="S229" s="97">
        <f>COUNTIF(COMPOSANTS!B:B,A229)</f>
        <v/>
      </c>
      <c r="T229" s="97">
        <f>COUNTIFS(COMPOSANTS!B:B,A229,COMPOSANTS!G:G,"Défectueux")</f>
        <v/>
      </c>
    </row>
    <row r="230" ht="15" customHeight="1" s="59">
      <c r="J230" s="91" t="n"/>
      <c r="L230" s="91" t="n"/>
      <c r="N230" s="91" t="n"/>
      <c r="O230" s="91" t="n"/>
      <c r="S230" s="97">
        <f>COUNTIF(COMPOSANTS!B:B,A230)</f>
        <v/>
      </c>
      <c r="T230" s="97">
        <f>COUNTIFS(COMPOSANTS!B:B,A230,COMPOSANTS!G:G,"Défectueux")</f>
        <v/>
      </c>
    </row>
    <row r="231" ht="15" customHeight="1" s="59">
      <c r="J231" s="91" t="n"/>
      <c r="L231" s="91" t="n"/>
      <c r="N231" s="91" t="n"/>
      <c r="O231" s="91" t="n"/>
      <c r="S231" s="97">
        <f>COUNTIF(COMPOSANTS!B:B,A231)</f>
        <v/>
      </c>
      <c r="T231" s="97">
        <f>COUNTIFS(COMPOSANTS!B:B,A231,COMPOSANTS!G:G,"Défectueux")</f>
        <v/>
      </c>
    </row>
    <row r="232" ht="15" customHeight="1" s="59">
      <c r="J232" s="91" t="n"/>
      <c r="L232" s="91" t="n"/>
      <c r="N232" s="91" t="n"/>
      <c r="O232" s="91" t="n"/>
      <c r="S232" s="97">
        <f>COUNTIF(COMPOSANTS!B:B,A232)</f>
        <v/>
      </c>
      <c r="T232" s="97">
        <f>COUNTIFS(COMPOSANTS!B:B,A232,COMPOSANTS!G:G,"Défectueux")</f>
        <v/>
      </c>
    </row>
    <row r="233" ht="15" customHeight="1" s="59">
      <c r="J233" s="91" t="n"/>
      <c r="L233" s="91" t="n"/>
      <c r="N233" s="91" t="n"/>
      <c r="O233" s="91" t="n"/>
      <c r="S233" s="97">
        <f>COUNTIF(COMPOSANTS!B:B,A233)</f>
        <v/>
      </c>
      <c r="T233" s="97">
        <f>COUNTIFS(COMPOSANTS!B:B,A233,COMPOSANTS!G:G,"Défectueux")</f>
        <v/>
      </c>
    </row>
    <row r="234" ht="15" customHeight="1" s="59">
      <c r="J234" s="91" t="n"/>
      <c r="L234" s="91" t="n"/>
      <c r="N234" s="91" t="n"/>
      <c r="O234" s="91" t="n"/>
      <c r="S234" s="97">
        <f>COUNTIF(COMPOSANTS!B:B,A234)</f>
        <v/>
      </c>
      <c r="T234" s="97">
        <f>COUNTIFS(COMPOSANTS!B:B,A234,COMPOSANTS!G:G,"Défectueux")</f>
        <v/>
      </c>
    </row>
    <row r="235" ht="15" customHeight="1" s="59">
      <c r="J235" s="91" t="n"/>
      <c r="L235" s="91" t="n"/>
      <c r="N235" s="91" t="n"/>
      <c r="O235" s="91" t="n"/>
      <c r="S235" s="97">
        <f>COUNTIF(COMPOSANTS!B:B,A235)</f>
        <v/>
      </c>
      <c r="T235" s="97">
        <f>COUNTIFS(COMPOSANTS!B:B,A235,COMPOSANTS!G:G,"Défectueux")</f>
        <v/>
      </c>
    </row>
    <row r="236" ht="15" customHeight="1" s="59">
      <c r="J236" s="91" t="n"/>
      <c r="L236" s="91" t="n"/>
      <c r="N236" s="91" t="n"/>
      <c r="O236" s="91" t="n"/>
      <c r="S236" s="97">
        <f>COUNTIF(COMPOSANTS!B:B,A236)</f>
        <v/>
      </c>
      <c r="T236" s="97">
        <f>COUNTIFS(COMPOSANTS!B:B,A236,COMPOSANTS!G:G,"Défectueux")</f>
        <v/>
      </c>
    </row>
    <row r="237" ht="15" customHeight="1" s="59">
      <c r="J237" s="91" t="n"/>
      <c r="L237" s="91" t="n"/>
      <c r="N237" s="91" t="n"/>
      <c r="O237" s="91" t="n"/>
      <c r="S237" s="97">
        <f>COUNTIF(COMPOSANTS!B:B,A237)</f>
        <v/>
      </c>
      <c r="T237" s="97">
        <f>COUNTIFS(COMPOSANTS!B:B,A237,COMPOSANTS!G:G,"Défectueux")</f>
        <v/>
      </c>
    </row>
    <row r="238" ht="15" customHeight="1" s="59">
      <c r="J238" s="91" t="n"/>
      <c r="L238" s="91" t="n"/>
      <c r="N238" s="91" t="n"/>
      <c r="O238" s="91" t="n"/>
      <c r="S238" s="97">
        <f>COUNTIF(COMPOSANTS!B:B,A238)</f>
        <v/>
      </c>
      <c r="T238" s="97">
        <f>COUNTIFS(COMPOSANTS!B:B,A238,COMPOSANTS!G:G,"Défectueux")</f>
        <v/>
      </c>
    </row>
    <row r="239" ht="15" customHeight="1" s="59">
      <c r="J239" s="91" t="n"/>
      <c r="L239" s="91" t="n"/>
      <c r="N239" s="91" t="n"/>
      <c r="O239" s="91" t="n"/>
      <c r="S239" s="97">
        <f>COUNTIF(COMPOSANTS!B:B,A239)</f>
        <v/>
      </c>
      <c r="T239" s="97">
        <f>COUNTIFS(COMPOSANTS!B:B,A239,COMPOSANTS!G:G,"Défectueux")</f>
        <v/>
      </c>
    </row>
    <row r="240" ht="15" customHeight="1" s="59">
      <c r="J240" s="91" t="n"/>
      <c r="L240" s="91" t="n"/>
      <c r="N240" s="91" t="n"/>
      <c r="O240" s="91" t="n"/>
      <c r="S240" s="97">
        <f>COUNTIF(COMPOSANTS!B:B,A240)</f>
        <v/>
      </c>
      <c r="T240" s="97">
        <f>COUNTIFS(COMPOSANTS!B:B,A240,COMPOSANTS!G:G,"Défectueux")</f>
        <v/>
      </c>
    </row>
    <row r="241" ht="15" customHeight="1" s="59">
      <c r="J241" s="91" t="n"/>
      <c r="L241" s="91" t="n"/>
      <c r="N241" s="91" t="n"/>
      <c r="O241" s="91" t="n"/>
      <c r="S241" s="97">
        <f>COUNTIF(COMPOSANTS!B:B,A241)</f>
        <v/>
      </c>
      <c r="T241" s="97">
        <f>COUNTIFS(COMPOSANTS!B:B,A241,COMPOSANTS!G:G,"Défectueux")</f>
        <v/>
      </c>
    </row>
    <row r="242" ht="15" customHeight="1" s="59">
      <c r="J242" s="91" t="n"/>
      <c r="L242" s="91" t="n"/>
      <c r="N242" s="91" t="n"/>
      <c r="O242" s="91" t="n"/>
      <c r="S242" s="97">
        <f>COUNTIF(COMPOSANTS!B:B,A242)</f>
        <v/>
      </c>
      <c r="T242" s="97">
        <f>COUNTIFS(COMPOSANTS!B:B,A242,COMPOSANTS!G:G,"Défectueux")</f>
        <v/>
      </c>
    </row>
    <row r="243" ht="15" customHeight="1" s="59">
      <c r="J243" s="91" t="n"/>
      <c r="L243" s="91" t="n"/>
      <c r="N243" s="91" t="n"/>
      <c r="O243" s="91" t="n"/>
      <c r="S243" s="97">
        <f>COUNTIF(COMPOSANTS!B:B,A243)</f>
        <v/>
      </c>
      <c r="T243" s="97">
        <f>COUNTIFS(COMPOSANTS!B:B,A243,COMPOSANTS!G:G,"Défectueux")</f>
        <v/>
      </c>
    </row>
    <row r="244" ht="15" customHeight="1" s="59">
      <c r="J244" s="91" t="n"/>
      <c r="L244" s="91" t="n"/>
      <c r="N244" s="91" t="n"/>
      <c r="O244" s="91" t="n"/>
      <c r="S244" s="97">
        <f>COUNTIF(COMPOSANTS!B:B,A244)</f>
        <v/>
      </c>
      <c r="T244" s="97">
        <f>COUNTIFS(COMPOSANTS!B:B,A244,COMPOSANTS!G:G,"Défectueux")</f>
        <v/>
      </c>
    </row>
    <row r="245" ht="15" customHeight="1" s="59">
      <c r="J245" s="91" t="n"/>
      <c r="L245" s="91" t="n"/>
      <c r="N245" s="91" t="n"/>
      <c r="O245" s="91" t="n"/>
      <c r="S245" s="97">
        <f>COUNTIF(COMPOSANTS!B:B,A245)</f>
        <v/>
      </c>
      <c r="T245" s="97">
        <f>COUNTIFS(COMPOSANTS!B:B,A245,COMPOSANTS!G:G,"Défectueux")</f>
        <v/>
      </c>
    </row>
    <row r="246" ht="15" customHeight="1" s="59">
      <c r="J246" s="91" t="n"/>
      <c r="L246" s="91" t="n"/>
      <c r="N246" s="91" t="n"/>
      <c r="O246" s="91" t="n"/>
      <c r="S246" s="97">
        <f>COUNTIF(COMPOSANTS!B:B,A246)</f>
        <v/>
      </c>
      <c r="T246" s="97">
        <f>COUNTIFS(COMPOSANTS!B:B,A246,COMPOSANTS!G:G,"Défectueux")</f>
        <v/>
      </c>
    </row>
    <row r="247" ht="15" customHeight="1" s="59">
      <c r="J247" s="91" t="n"/>
      <c r="L247" s="91" t="n"/>
      <c r="N247" s="91" t="n"/>
      <c r="O247" s="91" t="n"/>
      <c r="S247" s="97">
        <f>COUNTIF(COMPOSANTS!B:B,A247)</f>
        <v/>
      </c>
      <c r="T247" s="97">
        <f>COUNTIFS(COMPOSANTS!B:B,A247,COMPOSANTS!G:G,"Défectueux")</f>
        <v/>
      </c>
    </row>
    <row r="248" ht="15" customHeight="1" s="59">
      <c r="J248" s="91" t="n"/>
      <c r="L248" s="91" t="n"/>
      <c r="N248" s="91" t="n"/>
      <c r="O248" s="91" t="n"/>
      <c r="S248" s="97">
        <f>COUNTIF(COMPOSANTS!B:B,A248)</f>
        <v/>
      </c>
      <c r="T248" s="97">
        <f>COUNTIFS(COMPOSANTS!B:B,A248,COMPOSANTS!G:G,"Défectueux")</f>
        <v/>
      </c>
    </row>
    <row r="249" ht="15" customHeight="1" s="59">
      <c r="J249" s="91" t="n"/>
      <c r="L249" s="91" t="n"/>
      <c r="N249" s="91" t="n"/>
      <c r="O249" s="91" t="n"/>
      <c r="S249" s="97">
        <f>COUNTIF(COMPOSANTS!B:B,A249)</f>
        <v/>
      </c>
      <c r="T249" s="97">
        <f>COUNTIFS(COMPOSANTS!B:B,A249,COMPOSANTS!G:G,"Défectueux")</f>
        <v/>
      </c>
    </row>
    <row r="250" ht="15" customHeight="1" s="59">
      <c r="J250" s="91" t="n"/>
      <c r="L250" s="91" t="n"/>
      <c r="N250" s="91" t="n"/>
      <c r="O250" s="91" t="n"/>
      <c r="S250" s="97">
        <f>COUNTIF(COMPOSANTS!B:B,A250)</f>
        <v/>
      </c>
      <c r="T250" s="97">
        <f>COUNTIFS(COMPOSANTS!B:B,A250,COMPOSANTS!G:G,"Défectueux")</f>
        <v/>
      </c>
    </row>
    <row r="251" ht="15" customHeight="1" s="59">
      <c r="J251" s="91" t="n"/>
      <c r="L251" s="91" t="n"/>
      <c r="N251" s="91" t="n"/>
      <c r="O251" s="91" t="n"/>
      <c r="S251" s="97">
        <f>COUNTIF(COMPOSANTS!B:B,A251)</f>
        <v/>
      </c>
      <c r="T251" s="97">
        <f>COUNTIFS(COMPOSANTS!B:B,A251,COMPOSANTS!G:G,"Défectueux")</f>
        <v/>
      </c>
    </row>
    <row r="252" ht="15" customHeight="1" s="59">
      <c r="J252" s="91" t="n"/>
      <c r="L252" s="91" t="n"/>
      <c r="N252" s="91" t="n"/>
      <c r="O252" s="91" t="n"/>
      <c r="S252" s="97">
        <f>COUNTIF(COMPOSANTS!B:B,A252)</f>
        <v/>
      </c>
      <c r="T252" s="97">
        <f>COUNTIFS(COMPOSANTS!B:B,A252,COMPOSANTS!G:G,"Défectueux")</f>
        <v/>
      </c>
    </row>
    <row r="253" ht="15" customHeight="1" s="59">
      <c r="J253" s="91" t="n"/>
      <c r="L253" s="91" t="n"/>
      <c r="N253" s="91" t="n"/>
      <c r="O253" s="91" t="n"/>
      <c r="S253" s="97">
        <f>COUNTIF(COMPOSANTS!B:B,A253)</f>
        <v/>
      </c>
      <c r="T253" s="97">
        <f>COUNTIFS(COMPOSANTS!B:B,A253,COMPOSANTS!G:G,"Défectueux")</f>
        <v/>
      </c>
    </row>
    <row r="254" ht="15" customHeight="1" s="59">
      <c r="J254" s="91" t="n"/>
      <c r="L254" s="91" t="n"/>
      <c r="N254" s="91" t="n"/>
      <c r="O254" s="91" t="n"/>
      <c r="S254" s="97">
        <f>COUNTIF(COMPOSANTS!B:B,A254)</f>
        <v/>
      </c>
      <c r="T254" s="97">
        <f>COUNTIFS(COMPOSANTS!B:B,A254,COMPOSANTS!G:G,"Défectueux")</f>
        <v/>
      </c>
    </row>
    <row r="255" ht="15" customHeight="1" s="59">
      <c r="J255" s="91" t="n"/>
      <c r="L255" s="91" t="n"/>
      <c r="N255" s="91" t="n"/>
      <c r="O255" s="91" t="n"/>
      <c r="S255" s="97">
        <f>COUNTIF(COMPOSANTS!B:B,A255)</f>
        <v/>
      </c>
      <c r="T255" s="97">
        <f>COUNTIFS(COMPOSANTS!B:B,A255,COMPOSANTS!G:G,"Défectueux")</f>
        <v/>
      </c>
    </row>
    <row r="256" ht="15" customHeight="1" s="59">
      <c r="J256" s="91" t="n"/>
      <c r="L256" s="91" t="n"/>
      <c r="N256" s="91" t="n"/>
      <c r="O256" s="91" t="n"/>
      <c r="S256" s="97">
        <f>COUNTIF(COMPOSANTS!B:B,A256)</f>
        <v/>
      </c>
      <c r="T256" s="97">
        <f>COUNTIFS(COMPOSANTS!B:B,A256,COMPOSANTS!G:G,"Défectueux")</f>
        <v/>
      </c>
    </row>
    <row r="257" ht="15" customHeight="1" s="59">
      <c r="J257" s="91" t="n"/>
      <c r="L257" s="91" t="n"/>
      <c r="N257" s="91" t="n"/>
      <c r="O257" s="91" t="n"/>
      <c r="S257" s="97">
        <f>COUNTIF(COMPOSANTS!B:B,A257)</f>
        <v/>
      </c>
      <c r="T257" s="97">
        <f>COUNTIFS(COMPOSANTS!B:B,A257,COMPOSANTS!G:G,"Défectueux")</f>
        <v/>
      </c>
    </row>
    <row r="258" ht="15" customHeight="1" s="59">
      <c r="J258" s="91" t="n"/>
      <c r="L258" s="91" t="n"/>
      <c r="N258" s="91" t="n"/>
      <c r="O258" s="91" t="n"/>
      <c r="S258" s="97">
        <f>COUNTIF(COMPOSANTS!B:B,A258)</f>
        <v/>
      </c>
      <c r="T258" s="97">
        <f>COUNTIFS(COMPOSANTS!B:B,A258,COMPOSANTS!G:G,"Défectueux")</f>
        <v/>
      </c>
    </row>
    <row r="259" ht="15" customHeight="1" s="59">
      <c r="J259" s="91" t="n"/>
      <c r="L259" s="91" t="n"/>
      <c r="N259" s="91" t="n"/>
      <c r="O259" s="91" t="n"/>
      <c r="S259" s="97">
        <f>COUNTIF(COMPOSANTS!B:B,A259)</f>
        <v/>
      </c>
      <c r="T259" s="97">
        <f>COUNTIFS(COMPOSANTS!B:B,A259,COMPOSANTS!G:G,"Défectueux")</f>
        <v/>
      </c>
    </row>
    <row r="260" ht="15" customHeight="1" s="59">
      <c r="J260" s="91" t="n"/>
      <c r="L260" s="91" t="n"/>
      <c r="N260" s="91" t="n"/>
      <c r="O260" s="91" t="n"/>
      <c r="S260" s="97">
        <f>COUNTIF(COMPOSANTS!B:B,A260)</f>
        <v/>
      </c>
      <c r="T260" s="97">
        <f>COUNTIFS(COMPOSANTS!B:B,A260,COMPOSANTS!G:G,"Défectueux")</f>
        <v/>
      </c>
    </row>
    <row r="261" ht="15" customHeight="1" s="59">
      <c r="J261" s="91" t="n"/>
      <c r="L261" s="91" t="n"/>
      <c r="N261" s="91" t="n"/>
      <c r="O261" s="91" t="n"/>
      <c r="S261" s="97">
        <f>COUNTIF(COMPOSANTS!B:B,A261)</f>
        <v/>
      </c>
      <c r="T261" s="97">
        <f>COUNTIFS(COMPOSANTS!B:B,A261,COMPOSANTS!G:G,"Défectueux")</f>
        <v/>
      </c>
    </row>
    <row r="262" ht="15" customHeight="1" s="59">
      <c r="J262" s="91" t="n"/>
      <c r="L262" s="91" t="n"/>
      <c r="N262" s="91" t="n"/>
      <c r="O262" s="91" t="n"/>
      <c r="S262" s="97">
        <f>COUNTIF(COMPOSANTS!B:B,A262)</f>
        <v/>
      </c>
      <c r="T262" s="97">
        <f>COUNTIFS(COMPOSANTS!B:B,A262,COMPOSANTS!G:G,"Défectueux")</f>
        <v/>
      </c>
    </row>
    <row r="263" ht="15" customHeight="1" s="59">
      <c r="J263" s="91" t="n"/>
      <c r="L263" s="91" t="n"/>
      <c r="N263" s="91" t="n"/>
      <c r="O263" s="91" t="n"/>
      <c r="S263" s="97">
        <f>COUNTIF(COMPOSANTS!B:B,A263)</f>
        <v/>
      </c>
      <c r="T263" s="97">
        <f>COUNTIFS(COMPOSANTS!B:B,A263,COMPOSANTS!G:G,"Défectueux")</f>
        <v/>
      </c>
    </row>
    <row r="264" ht="15" customHeight="1" s="59">
      <c r="J264" s="91" t="n"/>
      <c r="L264" s="91" t="n"/>
      <c r="N264" s="91" t="n"/>
      <c r="O264" s="91" t="n"/>
      <c r="S264" s="97">
        <f>COUNTIF(COMPOSANTS!B:B,A264)</f>
        <v/>
      </c>
      <c r="T264" s="97">
        <f>COUNTIFS(COMPOSANTS!B:B,A264,COMPOSANTS!G:G,"Défectueux")</f>
        <v/>
      </c>
    </row>
    <row r="265" ht="15" customHeight="1" s="59">
      <c r="J265" s="91" t="n"/>
      <c r="L265" s="91" t="n"/>
      <c r="N265" s="91" t="n"/>
      <c r="O265" s="91" t="n"/>
      <c r="S265" s="97">
        <f>COUNTIF(COMPOSANTS!B:B,A265)</f>
        <v/>
      </c>
      <c r="T265" s="97">
        <f>COUNTIFS(COMPOSANTS!B:B,A265,COMPOSANTS!G:G,"Défectueux")</f>
        <v/>
      </c>
    </row>
    <row r="266" ht="15" customHeight="1" s="59">
      <c r="J266" s="91" t="n"/>
      <c r="L266" s="91" t="n"/>
      <c r="N266" s="91" t="n"/>
      <c r="O266" s="91" t="n"/>
      <c r="S266" s="97">
        <f>COUNTIF(COMPOSANTS!B:B,A266)</f>
        <v/>
      </c>
      <c r="T266" s="97">
        <f>COUNTIFS(COMPOSANTS!B:B,A266,COMPOSANTS!G:G,"Défectueux")</f>
        <v/>
      </c>
    </row>
    <row r="267" ht="15" customHeight="1" s="59">
      <c r="J267" s="91" t="n"/>
      <c r="L267" s="91" t="n"/>
      <c r="N267" s="91" t="n"/>
      <c r="O267" s="91" t="n"/>
      <c r="S267" s="97">
        <f>COUNTIF(COMPOSANTS!B:B,A267)</f>
        <v/>
      </c>
      <c r="T267" s="97">
        <f>COUNTIFS(COMPOSANTS!B:B,A267,COMPOSANTS!G:G,"Défectueux")</f>
        <v/>
      </c>
    </row>
    <row r="268" ht="15" customHeight="1" s="59">
      <c r="J268" s="91" t="n"/>
      <c r="L268" s="91" t="n"/>
      <c r="N268" s="91" t="n"/>
      <c r="O268" s="91" t="n"/>
      <c r="S268" s="97">
        <f>COUNTIF(COMPOSANTS!B:B,A268)</f>
        <v/>
      </c>
      <c r="T268" s="97">
        <f>COUNTIFS(COMPOSANTS!B:B,A268,COMPOSANTS!G:G,"Défectueux")</f>
        <v/>
      </c>
    </row>
    <row r="269" ht="15" customHeight="1" s="59">
      <c r="J269" s="91" t="n"/>
      <c r="L269" s="91" t="n"/>
      <c r="N269" s="91" t="n"/>
      <c r="O269" s="91" t="n"/>
      <c r="S269" s="97">
        <f>COUNTIF(COMPOSANTS!B:B,A269)</f>
        <v/>
      </c>
      <c r="T269" s="97">
        <f>COUNTIFS(COMPOSANTS!B:B,A269,COMPOSANTS!G:G,"Défectueux")</f>
        <v/>
      </c>
    </row>
    <row r="270" ht="15" customHeight="1" s="59">
      <c r="J270" s="91" t="n"/>
      <c r="L270" s="91" t="n"/>
      <c r="N270" s="91" t="n"/>
      <c r="O270" s="91" t="n"/>
      <c r="S270" s="97">
        <f>COUNTIF(COMPOSANTS!B:B,A270)</f>
        <v/>
      </c>
      <c r="T270" s="97">
        <f>COUNTIFS(COMPOSANTS!B:B,A270,COMPOSANTS!G:G,"Défectueux")</f>
        <v/>
      </c>
    </row>
    <row r="271" ht="15" customHeight="1" s="59">
      <c r="J271" s="91" t="n"/>
      <c r="L271" s="91" t="n"/>
      <c r="N271" s="91" t="n"/>
      <c r="O271" s="91" t="n"/>
      <c r="S271" s="97">
        <f>COUNTIF(COMPOSANTS!B:B,A271)</f>
        <v/>
      </c>
      <c r="T271" s="97">
        <f>COUNTIFS(COMPOSANTS!B:B,A271,COMPOSANTS!G:G,"Défectueux")</f>
        <v/>
      </c>
    </row>
    <row r="272" ht="15" customHeight="1" s="59">
      <c r="J272" s="91" t="n"/>
      <c r="L272" s="91" t="n"/>
      <c r="N272" s="91" t="n"/>
      <c r="O272" s="91" t="n"/>
      <c r="S272" s="97">
        <f>COUNTIF(COMPOSANTS!B:B,A272)</f>
        <v/>
      </c>
      <c r="T272" s="97">
        <f>COUNTIFS(COMPOSANTS!B:B,A272,COMPOSANTS!G:G,"Défectueux")</f>
        <v/>
      </c>
    </row>
    <row r="273" ht="15" customHeight="1" s="59">
      <c r="J273" s="91" t="n"/>
      <c r="L273" s="91" t="n"/>
      <c r="N273" s="91" t="n"/>
      <c r="O273" s="91" t="n"/>
      <c r="S273" s="97">
        <f>COUNTIF(COMPOSANTS!B:B,A273)</f>
        <v/>
      </c>
      <c r="T273" s="97">
        <f>COUNTIFS(COMPOSANTS!B:B,A273,COMPOSANTS!G:G,"Défectueux")</f>
        <v/>
      </c>
    </row>
    <row r="274" ht="15" customHeight="1" s="59">
      <c r="J274" s="91" t="n"/>
      <c r="L274" s="91" t="n"/>
      <c r="N274" s="91" t="n"/>
      <c r="O274" s="91" t="n"/>
      <c r="S274" s="97">
        <f>COUNTIF(COMPOSANTS!B:B,A274)</f>
        <v/>
      </c>
      <c r="T274" s="97">
        <f>COUNTIFS(COMPOSANTS!B:B,A274,COMPOSANTS!G:G,"Défectueux")</f>
        <v/>
      </c>
    </row>
    <row r="275" ht="15" customHeight="1" s="59">
      <c r="J275" s="91" t="n"/>
      <c r="L275" s="91" t="n"/>
      <c r="N275" s="91" t="n"/>
      <c r="O275" s="91" t="n"/>
      <c r="S275" s="97">
        <f>COUNTIF(COMPOSANTS!B:B,A275)</f>
        <v/>
      </c>
      <c r="T275" s="97">
        <f>COUNTIFS(COMPOSANTS!B:B,A275,COMPOSANTS!G:G,"Défectueux")</f>
        <v/>
      </c>
    </row>
    <row r="276" ht="15" customHeight="1" s="59">
      <c r="J276" s="91" t="n"/>
      <c r="L276" s="91" t="n"/>
      <c r="N276" s="91" t="n"/>
      <c r="O276" s="91" t="n"/>
      <c r="S276" s="97">
        <f>COUNTIF(COMPOSANTS!B:B,A276)</f>
        <v/>
      </c>
      <c r="T276" s="97">
        <f>COUNTIFS(COMPOSANTS!B:B,A276,COMPOSANTS!G:G,"Défectueux")</f>
        <v/>
      </c>
    </row>
    <row r="277" ht="15" customHeight="1" s="59">
      <c r="J277" s="91" t="n"/>
      <c r="L277" s="91" t="n"/>
      <c r="N277" s="91" t="n"/>
      <c r="O277" s="91" t="n"/>
      <c r="S277" s="97">
        <f>COUNTIF(COMPOSANTS!B:B,A277)</f>
        <v/>
      </c>
      <c r="T277" s="97">
        <f>COUNTIFS(COMPOSANTS!B:B,A277,COMPOSANTS!G:G,"Défectueux")</f>
        <v/>
      </c>
    </row>
    <row r="278" ht="15" customHeight="1" s="59">
      <c r="J278" s="91" t="n"/>
      <c r="L278" s="91" t="n"/>
      <c r="N278" s="91" t="n"/>
      <c r="O278" s="91" t="n"/>
      <c r="S278" s="97">
        <f>COUNTIF(COMPOSANTS!B:B,A278)</f>
        <v/>
      </c>
      <c r="T278" s="97">
        <f>COUNTIFS(COMPOSANTS!B:B,A278,COMPOSANTS!G:G,"Défectueux")</f>
        <v/>
      </c>
    </row>
    <row r="279" ht="15" customHeight="1" s="59">
      <c r="J279" s="91" t="n"/>
      <c r="L279" s="91" t="n"/>
      <c r="N279" s="91" t="n"/>
      <c r="O279" s="91" t="n"/>
      <c r="S279" s="97">
        <f>COUNTIF(COMPOSANTS!B:B,A279)</f>
        <v/>
      </c>
      <c r="T279" s="97">
        <f>COUNTIFS(COMPOSANTS!B:B,A279,COMPOSANTS!G:G,"Défectueux")</f>
        <v/>
      </c>
    </row>
    <row r="280" ht="15" customHeight="1" s="59">
      <c r="J280" s="91" t="n"/>
      <c r="L280" s="91" t="n"/>
      <c r="N280" s="91" t="n"/>
      <c r="O280" s="91" t="n"/>
      <c r="S280" s="97">
        <f>COUNTIF(COMPOSANTS!B:B,A280)</f>
        <v/>
      </c>
      <c r="T280" s="97">
        <f>COUNTIFS(COMPOSANTS!B:B,A280,COMPOSANTS!G:G,"Défectueux")</f>
        <v/>
      </c>
    </row>
    <row r="281" ht="15" customHeight="1" s="59">
      <c r="J281" s="91" t="n"/>
      <c r="L281" s="91" t="n"/>
      <c r="N281" s="91" t="n"/>
      <c r="O281" s="91" t="n"/>
      <c r="S281" s="97">
        <f>COUNTIF(COMPOSANTS!B:B,A281)</f>
        <v/>
      </c>
      <c r="T281" s="97">
        <f>COUNTIFS(COMPOSANTS!B:B,A281,COMPOSANTS!G:G,"Défectueux")</f>
        <v/>
      </c>
    </row>
    <row r="282" ht="15" customHeight="1" s="59">
      <c r="J282" s="91" t="n"/>
      <c r="L282" s="91" t="n"/>
      <c r="N282" s="91" t="n"/>
      <c r="O282" s="91" t="n"/>
      <c r="S282" s="97">
        <f>COUNTIF(COMPOSANTS!B:B,A282)</f>
        <v/>
      </c>
      <c r="T282" s="97">
        <f>COUNTIFS(COMPOSANTS!B:B,A282,COMPOSANTS!G:G,"Défectueux")</f>
        <v/>
      </c>
    </row>
    <row r="283" ht="15" customHeight="1" s="59">
      <c r="J283" s="91" t="n"/>
      <c r="L283" s="91" t="n"/>
      <c r="N283" s="91" t="n"/>
      <c r="O283" s="91" t="n"/>
      <c r="S283" s="97">
        <f>COUNTIF(COMPOSANTS!B:B,A283)</f>
        <v/>
      </c>
      <c r="T283" s="97">
        <f>COUNTIFS(COMPOSANTS!B:B,A283,COMPOSANTS!G:G,"Défectueux")</f>
        <v/>
      </c>
    </row>
    <row r="284" ht="15" customHeight="1" s="59">
      <c r="J284" s="91" t="n"/>
      <c r="L284" s="91" t="n"/>
      <c r="N284" s="91" t="n"/>
      <c r="O284" s="91" t="n"/>
      <c r="S284" s="97">
        <f>COUNTIF(COMPOSANTS!B:B,A284)</f>
        <v/>
      </c>
      <c r="T284" s="97">
        <f>COUNTIFS(COMPOSANTS!B:B,A284,COMPOSANTS!G:G,"Défectueux")</f>
        <v/>
      </c>
    </row>
    <row r="285" ht="15" customHeight="1" s="59">
      <c r="J285" s="91" t="n"/>
      <c r="L285" s="91" t="n"/>
      <c r="N285" s="91" t="n"/>
      <c r="O285" s="91" t="n"/>
      <c r="S285" s="97">
        <f>COUNTIF(COMPOSANTS!B:B,A285)</f>
        <v/>
      </c>
      <c r="T285" s="97">
        <f>COUNTIFS(COMPOSANTS!B:B,A285,COMPOSANTS!G:G,"Défectueux")</f>
        <v/>
      </c>
    </row>
    <row r="286" ht="15" customHeight="1" s="59">
      <c r="J286" s="91" t="n"/>
      <c r="L286" s="91" t="n"/>
      <c r="N286" s="91" t="n"/>
      <c r="O286" s="91" t="n"/>
      <c r="S286" s="97">
        <f>COUNTIF(COMPOSANTS!B:B,A286)</f>
        <v/>
      </c>
      <c r="T286" s="97">
        <f>COUNTIFS(COMPOSANTS!B:B,A286,COMPOSANTS!G:G,"Défectueux")</f>
        <v/>
      </c>
    </row>
    <row r="287" ht="15" customHeight="1" s="59">
      <c r="J287" s="91" t="n"/>
      <c r="L287" s="91" t="n"/>
      <c r="N287" s="91" t="n"/>
      <c r="O287" s="91" t="n"/>
      <c r="S287" s="97">
        <f>COUNTIF(COMPOSANTS!B:B,A287)</f>
        <v/>
      </c>
      <c r="T287" s="97">
        <f>COUNTIFS(COMPOSANTS!B:B,A287,COMPOSANTS!G:G,"Défectueux")</f>
        <v/>
      </c>
    </row>
    <row r="288" ht="15" customHeight="1" s="59">
      <c r="J288" s="91" t="n"/>
      <c r="L288" s="91" t="n"/>
      <c r="N288" s="91" t="n"/>
      <c r="O288" s="91" t="n"/>
      <c r="S288" s="97">
        <f>COUNTIF(COMPOSANTS!B:B,A288)</f>
        <v/>
      </c>
      <c r="T288" s="97">
        <f>COUNTIFS(COMPOSANTS!B:B,A288,COMPOSANTS!G:G,"Défectueux")</f>
        <v/>
      </c>
    </row>
    <row r="289" ht="15" customHeight="1" s="59">
      <c r="J289" s="91" t="n"/>
      <c r="L289" s="91" t="n"/>
      <c r="N289" s="91" t="n"/>
      <c r="O289" s="91" t="n"/>
      <c r="S289" s="97">
        <f>COUNTIF(COMPOSANTS!B:B,A289)</f>
        <v/>
      </c>
      <c r="T289" s="97">
        <f>COUNTIFS(COMPOSANTS!B:B,A289,COMPOSANTS!G:G,"Défectueux")</f>
        <v/>
      </c>
    </row>
    <row r="290" ht="15" customHeight="1" s="59">
      <c r="J290" s="91" t="n"/>
      <c r="L290" s="91" t="n"/>
      <c r="N290" s="91" t="n"/>
      <c r="O290" s="91" t="n"/>
      <c r="S290" s="97">
        <f>COUNTIF(COMPOSANTS!B:B,A290)</f>
        <v/>
      </c>
      <c r="T290" s="97">
        <f>COUNTIFS(COMPOSANTS!B:B,A290,COMPOSANTS!G:G,"Défectueux")</f>
        <v/>
      </c>
    </row>
    <row r="291" ht="15" customHeight="1" s="59">
      <c r="J291" s="91" t="n"/>
      <c r="L291" s="91" t="n"/>
      <c r="N291" s="91" t="n"/>
      <c r="O291" s="91" t="n"/>
      <c r="S291" s="97">
        <f>COUNTIF(COMPOSANTS!B:B,A291)</f>
        <v/>
      </c>
      <c r="T291" s="97">
        <f>COUNTIFS(COMPOSANTS!B:B,A291,COMPOSANTS!G:G,"Défectueux")</f>
        <v/>
      </c>
    </row>
    <row r="292" ht="15" customHeight="1" s="59">
      <c r="J292" s="91" t="n"/>
      <c r="L292" s="91" t="n"/>
      <c r="N292" s="91" t="n"/>
      <c r="O292" s="91" t="n"/>
      <c r="S292" s="97">
        <f>COUNTIF(COMPOSANTS!B:B,A292)</f>
        <v/>
      </c>
      <c r="T292" s="97">
        <f>COUNTIFS(COMPOSANTS!B:B,A292,COMPOSANTS!G:G,"Défectueux")</f>
        <v/>
      </c>
    </row>
    <row r="293" ht="15" customHeight="1" s="59">
      <c r="J293" s="91" t="n"/>
      <c r="L293" s="91" t="n"/>
      <c r="N293" s="91" t="n"/>
      <c r="O293" s="91" t="n"/>
      <c r="S293" s="97">
        <f>COUNTIF(COMPOSANTS!B:B,A293)</f>
        <v/>
      </c>
      <c r="T293" s="97">
        <f>COUNTIFS(COMPOSANTS!B:B,A293,COMPOSANTS!G:G,"Défectueux")</f>
        <v/>
      </c>
    </row>
    <row r="294" ht="15" customHeight="1" s="59">
      <c r="J294" s="91" t="n"/>
      <c r="L294" s="91" t="n"/>
      <c r="N294" s="91" t="n"/>
      <c r="O294" s="91" t="n"/>
      <c r="S294" s="97">
        <f>COUNTIF(COMPOSANTS!B:B,A294)</f>
        <v/>
      </c>
      <c r="T294" s="97">
        <f>COUNTIFS(COMPOSANTS!B:B,A294,COMPOSANTS!G:G,"Défectueux")</f>
        <v/>
      </c>
    </row>
    <row r="295" ht="15" customHeight="1" s="59">
      <c r="J295" s="91" t="n"/>
      <c r="L295" s="91" t="n"/>
      <c r="N295" s="91" t="n"/>
      <c r="O295" s="91" t="n"/>
      <c r="S295" s="97">
        <f>COUNTIF(COMPOSANTS!B:B,A295)</f>
        <v/>
      </c>
      <c r="T295" s="97">
        <f>COUNTIFS(COMPOSANTS!B:B,A295,COMPOSANTS!G:G,"Défectueux")</f>
        <v/>
      </c>
    </row>
    <row r="296" ht="15" customHeight="1" s="59">
      <c r="J296" s="91" t="n"/>
      <c r="L296" s="91" t="n"/>
      <c r="N296" s="91" t="n"/>
      <c r="O296" s="91" t="n"/>
      <c r="S296" s="97">
        <f>COUNTIF(COMPOSANTS!B:B,A296)</f>
        <v/>
      </c>
      <c r="T296" s="97">
        <f>COUNTIFS(COMPOSANTS!B:B,A296,COMPOSANTS!G:G,"Défectueux")</f>
        <v/>
      </c>
    </row>
    <row r="297" ht="15" customHeight="1" s="59">
      <c r="J297" s="91" t="n"/>
      <c r="L297" s="91" t="n"/>
      <c r="N297" s="91" t="n"/>
      <c r="O297" s="91" t="n"/>
      <c r="S297" s="97">
        <f>COUNTIF(COMPOSANTS!B:B,A297)</f>
        <v/>
      </c>
      <c r="T297" s="97">
        <f>COUNTIFS(COMPOSANTS!B:B,A297,COMPOSANTS!G:G,"Défectueux")</f>
        <v/>
      </c>
    </row>
    <row r="298" ht="15" customHeight="1" s="59">
      <c r="J298" s="91" t="n"/>
      <c r="L298" s="91" t="n"/>
      <c r="N298" s="91" t="n"/>
      <c r="O298" s="91" t="n"/>
      <c r="S298" s="97">
        <f>COUNTIF(COMPOSANTS!B:B,A298)</f>
        <v/>
      </c>
      <c r="T298" s="97">
        <f>COUNTIFS(COMPOSANTS!B:B,A298,COMPOSANTS!G:G,"Défectueux")</f>
        <v/>
      </c>
    </row>
    <row r="299" ht="15" customHeight="1" s="59">
      <c r="J299" s="91" t="n"/>
      <c r="L299" s="91" t="n"/>
      <c r="N299" s="91" t="n"/>
      <c r="O299" s="91" t="n"/>
      <c r="S299" s="97">
        <f>COUNTIF(COMPOSANTS!B:B,A299)</f>
        <v/>
      </c>
      <c r="T299" s="97">
        <f>COUNTIFS(COMPOSANTS!B:B,A299,COMPOSANTS!G:G,"Défectueux")</f>
        <v/>
      </c>
    </row>
    <row r="300" ht="15" customHeight="1" s="59">
      <c r="J300" s="91" t="n"/>
      <c r="L300" s="91" t="n"/>
      <c r="N300" s="91" t="n"/>
      <c r="O300" s="91" t="n"/>
      <c r="S300" s="97">
        <f>COUNTIF(COMPOSANTS!B:B,A300)</f>
        <v/>
      </c>
      <c r="T300" s="97">
        <f>COUNTIFS(COMPOSANTS!B:B,A300,COMPOSANTS!G:G,"Défectueux")</f>
        <v/>
      </c>
    </row>
    <row r="301" ht="15" customHeight="1" s="59">
      <c r="J301" s="91" t="n"/>
      <c r="L301" s="91" t="n"/>
      <c r="N301" s="91" t="n"/>
      <c r="O301" s="91" t="n"/>
      <c r="S301" s="97">
        <f>COUNTIF(COMPOSANTS!B:B,A301)</f>
        <v/>
      </c>
      <c r="T301" s="97">
        <f>COUNTIFS(COMPOSANTS!B:B,A301,COMPOSANTS!G:G,"Défectueux")</f>
        <v/>
      </c>
    </row>
    <row r="302" ht="15" customHeight="1" s="59">
      <c r="J302" s="91" t="n"/>
      <c r="L302" s="91" t="n"/>
      <c r="N302" s="91" t="n"/>
      <c r="O302" s="91" t="n"/>
      <c r="S302" s="97">
        <f>COUNTIF(COMPOSANTS!B:B,A302)</f>
        <v/>
      </c>
      <c r="T302" s="97">
        <f>COUNTIFS(COMPOSANTS!B:B,A302,COMPOSANTS!G:G,"Défectueux")</f>
        <v/>
      </c>
    </row>
    <row r="303" ht="15" customHeight="1" s="59">
      <c r="J303" s="91" t="n"/>
      <c r="L303" s="91" t="n"/>
      <c r="N303" s="91" t="n"/>
      <c r="O303" s="91" t="n"/>
      <c r="S303" s="97">
        <f>COUNTIF(COMPOSANTS!B:B,A303)</f>
        <v/>
      </c>
      <c r="T303" s="97">
        <f>COUNTIFS(COMPOSANTS!B:B,A303,COMPOSANTS!G:G,"Défectueux")</f>
        <v/>
      </c>
    </row>
    <row r="304" ht="15" customHeight="1" s="59">
      <c r="J304" s="91" t="n"/>
      <c r="L304" s="91" t="n"/>
      <c r="N304" s="91" t="n"/>
      <c r="O304" s="91" t="n"/>
      <c r="S304" s="97">
        <f>COUNTIF(COMPOSANTS!B:B,A304)</f>
        <v/>
      </c>
      <c r="T304" s="97">
        <f>COUNTIFS(COMPOSANTS!B:B,A304,COMPOSANTS!G:G,"Défectueux")</f>
        <v/>
      </c>
    </row>
    <row r="305" ht="15" customHeight="1" s="59">
      <c r="J305" s="91" t="n"/>
      <c r="L305" s="91" t="n"/>
      <c r="N305" s="91" t="n"/>
      <c r="O305" s="91" t="n"/>
      <c r="S305" s="97">
        <f>COUNTIF(COMPOSANTS!B:B,A305)</f>
        <v/>
      </c>
      <c r="T305" s="97">
        <f>COUNTIFS(COMPOSANTS!B:B,A305,COMPOSANTS!G:G,"Défectueux")</f>
        <v/>
      </c>
    </row>
    <row r="306" ht="15" customHeight="1" s="59">
      <c r="J306" s="91" t="n"/>
      <c r="L306" s="91" t="n"/>
      <c r="N306" s="91" t="n"/>
      <c r="O306" s="91" t="n"/>
      <c r="S306" s="97">
        <f>COUNTIF(COMPOSANTS!B:B,A306)</f>
        <v/>
      </c>
      <c r="T306" s="97">
        <f>COUNTIFS(COMPOSANTS!B:B,A306,COMPOSANTS!G:G,"Défectueux")</f>
        <v/>
      </c>
    </row>
    <row r="307" ht="15" customHeight="1" s="59">
      <c r="J307" s="91" t="n"/>
      <c r="L307" s="91" t="n"/>
      <c r="N307" s="91" t="n"/>
      <c r="O307" s="91" t="n"/>
      <c r="S307" s="97">
        <f>COUNTIF(COMPOSANTS!B:B,A307)</f>
        <v/>
      </c>
      <c r="T307" s="97">
        <f>COUNTIFS(COMPOSANTS!B:B,A307,COMPOSANTS!G:G,"Défectueux")</f>
        <v/>
      </c>
    </row>
    <row r="308" ht="15" customHeight="1" s="59">
      <c r="J308" s="91" t="n"/>
      <c r="L308" s="91" t="n"/>
      <c r="N308" s="91" t="n"/>
      <c r="O308" s="91" t="n"/>
      <c r="S308" s="97">
        <f>COUNTIF(COMPOSANTS!B:B,A308)</f>
        <v/>
      </c>
      <c r="T308" s="97">
        <f>COUNTIFS(COMPOSANTS!B:B,A308,COMPOSANTS!G:G,"Défectueux")</f>
        <v/>
      </c>
    </row>
    <row r="309" ht="15" customHeight="1" s="59">
      <c r="J309" s="91" t="n"/>
      <c r="L309" s="91" t="n"/>
      <c r="N309" s="91" t="n"/>
      <c r="O309" s="91" t="n"/>
      <c r="S309" s="97">
        <f>COUNTIF(COMPOSANTS!B:B,A309)</f>
        <v/>
      </c>
      <c r="T309" s="97">
        <f>COUNTIFS(COMPOSANTS!B:B,A309,COMPOSANTS!G:G,"Défectueux")</f>
        <v/>
      </c>
    </row>
    <row r="310" ht="15" customHeight="1" s="59">
      <c r="J310" s="91" t="n"/>
      <c r="L310" s="91" t="n"/>
      <c r="N310" s="91" t="n"/>
      <c r="O310" s="91" t="n"/>
      <c r="S310" s="97">
        <f>COUNTIF(COMPOSANTS!B:B,A310)</f>
        <v/>
      </c>
      <c r="T310" s="97">
        <f>COUNTIFS(COMPOSANTS!B:B,A310,COMPOSANTS!G:G,"Défectueux")</f>
        <v/>
      </c>
    </row>
    <row r="311" ht="15" customHeight="1" s="59">
      <c r="J311" s="91" t="n"/>
      <c r="L311" s="91" t="n"/>
      <c r="N311" s="91" t="n"/>
      <c r="O311" s="91" t="n"/>
      <c r="S311" s="97">
        <f>COUNTIF(COMPOSANTS!B:B,A311)</f>
        <v/>
      </c>
      <c r="T311" s="97">
        <f>COUNTIFS(COMPOSANTS!B:B,A311,COMPOSANTS!G:G,"Défectueux")</f>
        <v/>
      </c>
    </row>
    <row r="312" ht="15" customHeight="1" s="59">
      <c r="J312" s="91" t="n"/>
      <c r="L312" s="91" t="n"/>
      <c r="N312" s="91" t="n"/>
      <c r="O312" s="91" t="n"/>
      <c r="S312" s="97">
        <f>COUNTIF(COMPOSANTS!B:B,A312)</f>
        <v/>
      </c>
      <c r="T312" s="97">
        <f>COUNTIFS(COMPOSANTS!B:B,A312,COMPOSANTS!G:G,"Défectueux")</f>
        <v/>
      </c>
    </row>
    <row r="313" ht="15" customHeight="1" s="59">
      <c r="J313" s="91" t="n"/>
      <c r="L313" s="91" t="n"/>
      <c r="N313" s="91" t="n"/>
      <c r="O313" s="91" t="n"/>
      <c r="S313" s="97">
        <f>COUNTIF(COMPOSANTS!B:B,A313)</f>
        <v/>
      </c>
      <c r="T313" s="97">
        <f>COUNTIFS(COMPOSANTS!B:B,A313,COMPOSANTS!G:G,"Défectueux")</f>
        <v/>
      </c>
    </row>
    <row r="314" ht="15" customHeight="1" s="59">
      <c r="J314" s="91" t="n"/>
      <c r="L314" s="91" t="n"/>
      <c r="N314" s="91" t="n"/>
      <c r="O314" s="91" t="n"/>
      <c r="S314" s="97">
        <f>COUNTIF(COMPOSANTS!B:B,A314)</f>
        <v/>
      </c>
      <c r="T314" s="97">
        <f>COUNTIFS(COMPOSANTS!B:B,A314,COMPOSANTS!G:G,"Défectueux")</f>
        <v/>
      </c>
    </row>
    <row r="315" ht="15" customHeight="1" s="59">
      <c r="J315" s="91" t="n"/>
      <c r="L315" s="91" t="n"/>
      <c r="N315" s="91" t="n"/>
      <c r="O315" s="91" t="n"/>
      <c r="S315" s="97">
        <f>COUNTIF(COMPOSANTS!B:B,A315)</f>
        <v/>
      </c>
      <c r="T315" s="97">
        <f>COUNTIFS(COMPOSANTS!B:B,A315,COMPOSANTS!G:G,"Défectueux")</f>
        <v/>
      </c>
    </row>
    <row r="316" ht="15" customHeight="1" s="59">
      <c r="J316" s="91" t="n"/>
      <c r="L316" s="91" t="n"/>
      <c r="N316" s="91" t="n"/>
      <c r="O316" s="91" t="n"/>
      <c r="S316" s="97">
        <f>COUNTIF(COMPOSANTS!B:B,A316)</f>
        <v/>
      </c>
      <c r="T316" s="97">
        <f>COUNTIFS(COMPOSANTS!B:B,A316,COMPOSANTS!G:G,"Défectueux")</f>
        <v/>
      </c>
    </row>
    <row r="317" ht="15" customHeight="1" s="59">
      <c r="J317" s="91" t="n"/>
      <c r="L317" s="91" t="n"/>
      <c r="N317" s="91" t="n"/>
      <c r="O317" s="91" t="n"/>
      <c r="S317" s="97">
        <f>COUNTIF(COMPOSANTS!B:B,A317)</f>
        <v/>
      </c>
      <c r="T317" s="97">
        <f>COUNTIFS(COMPOSANTS!B:B,A317,COMPOSANTS!G:G,"Défectueux")</f>
        <v/>
      </c>
    </row>
    <row r="318" ht="15" customHeight="1" s="59">
      <c r="J318" s="91" t="n"/>
      <c r="L318" s="91" t="n"/>
      <c r="N318" s="91" t="n"/>
      <c r="O318" s="91" t="n"/>
      <c r="S318" s="97">
        <f>COUNTIF(COMPOSANTS!B:B,A318)</f>
        <v/>
      </c>
      <c r="T318" s="97">
        <f>COUNTIFS(COMPOSANTS!B:B,A318,COMPOSANTS!G:G,"Défectueux")</f>
        <v/>
      </c>
    </row>
    <row r="319" ht="15" customHeight="1" s="59">
      <c r="J319" s="91" t="n"/>
      <c r="L319" s="91" t="n"/>
      <c r="N319" s="91" t="n"/>
      <c r="O319" s="91" t="n"/>
      <c r="S319" s="97">
        <f>COUNTIF(COMPOSANTS!B:B,A319)</f>
        <v/>
      </c>
      <c r="T319" s="97">
        <f>COUNTIFS(COMPOSANTS!B:B,A319,COMPOSANTS!G:G,"Défectueux")</f>
        <v/>
      </c>
    </row>
    <row r="320" ht="15" customHeight="1" s="59">
      <c r="J320" s="91" t="n"/>
      <c r="L320" s="91" t="n"/>
      <c r="N320" s="91" t="n"/>
      <c r="O320" s="91" t="n"/>
      <c r="S320" s="97">
        <f>COUNTIF(COMPOSANTS!B:B,A320)</f>
        <v/>
      </c>
      <c r="T320" s="97">
        <f>COUNTIFS(COMPOSANTS!B:B,A320,COMPOSANTS!G:G,"Défectueux")</f>
        <v/>
      </c>
    </row>
    <row r="321" ht="15" customHeight="1" s="59">
      <c r="J321" s="91" t="n"/>
      <c r="L321" s="91" t="n"/>
      <c r="N321" s="91" t="n"/>
      <c r="O321" s="91" t="n"/>
      <c r="S321" s="97">
        <f>COUNTIF(COMPOSANTS!B:B,A321)</f>
        <v/>
      </c>
      <c r="T321" s="97">
        <f>COUNTIFS(COMPOSANTS!B:B,A321,COMPOSANTS!G:G,"Défectueux")</f>
        <v/>
      </c>
    </row>
    <row r="322" ht="15" customHeight="1" s="59">
      <c r="J322" s="91" t="n"/>
      <c r="L322" s="91" t="n"/>
      <c r="N322" s="91" t="n"/>
      <c r="O322" s="91" t="n"/>
      <c r="S322" s="97">
        <f>COUNTIF(COMPOSANTS!B:B,A322)</f>
        <v/>
      </c>
      <c r="T322" s="97">
        <f>COUNTIFS(COMPOSANTS!B:B,A322,COMPOSANTS!G:G,"Défectueux")</f>
        <v/>
      </c>
    </row>
    <row r="323" ht="15" customHeight="1" s="59">
      <c r="J323" s="91" t="n"/>
      <c r="L323" s="91" t="n"/>
      <c r="N323" s="91" t="n"/>
      <c r="O323" s="91" t="n"/>
      <c r="S323" s="97">
        <f>COUNTIF(COMPOSANTS!B:B,A323)</f>
        <v/>
      </c>
      <c r="T323" s="97">
        <f>COUNTIFS(COMPOSANTS!B:B,A323,COMPOSANTS!G:G,"Défectueux")</f>
        <v/>
      </c>
    </row>
    <row r="324" ht="15" customHeight="1" s="59">
      <c r="J324" s="91" t="n"/>
      <c r="L324" s="91" t="n"/>
      <c r="N324" s="91" t="n"/>
      <c r="O324" s="91" t="n"/>
      <c r="S324" s="97">
        <f>COUNTIF(COMPOSANTS!B:B,A324)</f>
        <v/>
      </c>
      <c r="T324" s="97">
        <f>COUNTIFS(COMPOSANTS!B:B,A324,COMPOSANTS!G:G,"Défectueux")</f>
        <v/>
      </c>
    </row>
    <row r="325" ht="15" customHeight="1" s="59">
      <c r="J325" s="91" t="n"/>
      <c r="L325" s="91" t="n"/>
      <c r="N325" s="91" t="n"/>
      <c r="O325" s="91" t="n"/>
      <c r="S325" s="97">
        <f>COUNTIF(COMPOSANTS!B:B,A325)</f>
        <v/>
      </c>
      <c r="T325" s="97">
        <f>COUNTIFS(COMPOSANTS!B:B,A325,COMPOSANTS!G:G,"Défectueux")</f>
        <v/>
      </c>
    </row>
    <row r="326" ht="15" customHeight="1" s="59">
      <c r="J326" s="91" t="n"/>
      <c r="L326" s="91" t="n"/>
      <c r="N326" s="91" t="n"/>
      <c r="O326" s="91" t="n"/>
      <c r="S326" s="97">
        <f>COUNTIF(COMPOSANTS!B:B,A326)</f>
        <v/>
      </c>
      <c r="T326" s="97">
        <f>COUNTIFS(COMPOSANTS!B:B,A326,COMPOSANTS!G:G,"Défectueux")</f>
        <v/>
      </c>
    </row>
    <row r="327" ht="15" customHeight="1" s="59">
      <c r="J327" s="91" t="n"/>
      <c r="L327" s="91" t="n"/>
      <c r="N327" s="91" t="n"/>
      <c r="O327" s="91" t="n"/>
      <c r="S327" s="97">
        <f>COUNTIF(COMPOSANTS!B:B,A327)</f>
        <v/>
      </c>
      <c r="T327" s="97">
        <f>COUNTIFS(COMPOSANTS!B:B,A327,COMPOSANTS!G:G,"Défectueux")</f>
        <v/>
      </c>
    </row>
    <row r="328" ht="15" customHeight="1" s="59">
      <c r="J328" s="91" t="n"/>
      <c r="L328" s="91" t="n"/>
      <c r="N328" s="91" t="n"/>
      <c r="O328" s="91" t="n"/>
      <c r="S328" s="97">
        <f>COUNTIF(COMPOSANTS!B:B,A328)</f>
        <v/>
      </c>
      <c r="T328" s="97">
        <f>COUNTIFS(COMPOSANTS!B:B,A328,COMPOSANTS!G:G,"Défectueux")</f>
        <v/>
      </c>
    </row>
    <row r="329" ht="15" customHeight="1" s="59">
      <c r="J329" s="91" t="n"/>
      <c r="L329" s="91" t="n"/>
      <c r="N329" s="91" t="n"/>
      <c r="O329" s="91" t="n"/>
      <c r="S329" s="97">
        <f>COUNTIF(COMPOSANTS!B:B,A329)</f>
        <v/>
      </c>
      <c r="T329" s="97">
        <f>COUNTIFS(COMPOSANTS!B:B,A329,COMPOSANTS!G:G,"Défectueux")</f>
        <v/>
      </c>
    </row>
    <row r="330" ht="15" customHeight="1" s="59">
      <c r="J330" s="91" t="n"/>
      <c r="L330" s="91" t="n"/>
      <c r="N330" s="91" t="n"/>
      <c r="O330" s="91" t="n"/>
      <c r="S330" s="97">
        <f>COUNTIF(COMPOSANTS!B:B,A330)</f>
        <v/>
      </c>
      <c r="T330" s="97">
        <f>COUNTIFS(COMPOSANTS!B:B,A330,COMPOSANTS!G:G,"Défectueux")</f>
        <v/>
      </c>
    </row>
    <row r="331" ht="15" customHeight="1" s="59">
      <c r="J331" s="91" t="n"/>
      <c r="L331" s="91" t="n"/>
      <c r="N331" s="91" t="n"/>
      <c r="O331" s="91" t="n"/>
      <c r="S331" s="97">
        <f>COUNTIF(COMPOSANTS!B:B,A331)</f>
        <v/>
      </c>
      <c r="T331" s="97">
        <f>COUNTIFS(COMPOSANTS!B:B,A331,COMPOSANTS!G:G,"Défectueux")</f>
        <v/>
      </c>
    </row>
    <row r="332" ht="15" customHeight="1" s="59">
      <c r="J332" s="91" t="n"/>
      <c r="L332" s="91" t="n"/>
      <c r="N332" s="91" t="n"/>
      <c r="O332" s="91" t="n"/>
      <c r="S332" s="97">
        <f>COUNTIF(COMPOSANTS!B:B,A332)</f>
        <v/>
      </c>
      <c r="T332" s="97">
        <f>COUNTIFS(COMPOSANTS!B:B,A332,COMPOSANTS!G:G,"Défectueux")</f>
        <v/>
      </c>
    </row>
    <row r="333" ht="15" customHeight="1" s="59">
      <c r="J333" s="91" t="n"/>
      <c r="L333" s="91" t="n"/>
      <c r="N333" s="91" t="n"/>
      <c r="O333" s="91" t="n"/>
      <c r="S333" s="97">
        <f>COUNTIF(COMPOSANTS!B:B,A333)</f>
        <v/>
      </c>
      <c r="T333" s="97">
        <f>COUNTIFS(COMPOSANTS!B:B,A333,COMPOSANTS!G:G,"Défectueux")</f>
        <v/>
      </c>
    </row>
    <row r="334" ht="15" customHeight="1" s="59">
      <c r="J334" s="91" t="n"/>
      <c r="L334" s="91" t="n"/>
      <c r="N334" s="91" t="n"/>
      <c r="O334" s="91" t="n"/>
      <c r="S334" s="97">
        <f>COUNTIF(COMPOSANTS!B:B,A334)</f>
        <v/>
      </c>
      <c r="T334" s="97">
        <f>COUNTIFS(COMPOSANTS!B:B,A334,COMPOSANTS!G:G,"Défectueux")</f>
        <v/>
      </c>
    </row>
    <row r="335" ht="15" customHeight="1" s="59">
      <c r="J335" s="91" t="n"/>
      <c r="L335" s="91" t="n"/>
      <c r="N335" s="91" t="n"/>
      <c r="O335" s="91" t="n"/>
      <c r="S335" s="97">
        <f>COUNTIF(COMPOSANTS!B:B,A335)</f>
        <v/>
      </c>
      <c r="T335" s="97">
        <f>COUNTIFS(COMPOSANTS!B:B,A335,COMPOSANTS!G:G,"Défectueux")</f>
        <v/>
      </c>
    </row>
    <row r="336" ht="15" customHeight="1" s="59">
      <c r="J336" s="91" t="n"/>
      <c r="L336" s="91" t="n"/>
      <c r="N336" s="91" t="n"/>
      <c r="O336" s="91" t="n"/>
      <c r="S336" s="97">
        <f>COUNTIF(COMPOSANTS!B:B,A336)</f>
        <v/>
      </c>
      <c r="T336" s="97">
        <f>COUNTIFS(COMPOSANTS!B:B,A336,COMPOSANTS!G:G,"Défectueux")</f>
        <v/>
      </c>
    </row>
    <row r="337" ht="15" customHeight="1" s="59">
      <c r="J337" s="91" t="n"/>
      <c r="L337" s="91" t="n"/>
      <c r="N337" s="91" t="n"/>
      <c r="O337" s="91" t="n"/>
      <c r="S337" s="97">
        <f>COUNTIF(COMPOSANTS!B:B,A337)</f>
        <v/>
      </c>
      <c r="T337" s="97">
        <f>COUNTIFS(COMPOSANTS!B:B,A337,COMPOSANTS!G:G,"Défectueux")</f>
        <v/>
      </c>
    </row>
    <row r="338" ht="15" customHeight="1" s="59">
      <c r="J338" s="91" t="n"/>
      <c r="L338" s="91" t="n"/>
      <c r="N338" s="91" t="n"/>
      <c r="O338" s="91" t="n"/>
      <c r="S338" s="97">
        <f>COUNTIF(COMPOSANTS!B:B,A338)</f>
        <v/>
      </c>
      <c r="T338" s="97">
        <f>COUNTIFS(COMPOSANTS!B:B,A338,COMPOSANTS!G:G,"Défectueux")</f>
        <v/>
      </c>
    </row>
    <row r="339" ht="15" customHeight="1" s="59">
      <c r="J339" s="91" t="n"/>
      <c r="L339" s="91" t="n"/>
      <c r="N339" s="91" t="n"/>
      <c r="O339" s="91" t="n"/>
      <c r="S339" s="97">
        <f>COUNTIF(COMPOSANTS!B:B,A339)</f>
        <v/>
      </c>
      <c r="T339" s="97">
        <f>COUNTIFS(COMPOSANTS!B:B,A339,COMPOSANTS!G:G,"Défectueux")</f>
        <v/>
      </c>
    </row>
    <row r="340" ht="15" customHeight="1" s="59">
      <c r="J340" s="91" t="n"/>
      <c r="L340" s="91" t="n"/>
      <c r="N340" s="91" t="n"/>
      <c r="O340" s="91" t="n"/>
      <c r="S340" s="97">
        <f>COUNTIF(COMPOSANTS!B:B,A340)</f>
        <v/>
      </c>
      <c r="T340" s="97">
        <f>COUNTIFS(COMPOSANTS!B:B,A340,COMPOSANTS!G:G,"Défectueux")</f>
        <v/>
      </c>
    </row>
    <row r="341" ht="15" customHeight="1" s="59">
      <c r="J341" s="91" t="n"/>
      <c r="L341" s="91" t="n"/>
      <c r="N341" s="91" t="n"/>
      <c r="O341" s="91" t="n"/>
      <c r="S341" s="97">
        <f>COUNTIF(COMPOSANTS!B:B,A341)</f>
        <v/>
      </c>
      <c r="T341" s="97">
        <f>COUNTIFS(COMPOSANTS!B:B,A341,COMPOSANTS!G:G,"Défectueux")</f>
        <v/>
      </c>
    </row>
    <row r="342" ht="15" customHeight="1" s="59">
      <c r="J342" s="91" t="n"/>
      <c r="L342" s="91" t="n"/>
      <c r="N342" s="91" t="n"/>
      <c r="O342" s="91" t="n"/>
      <c r="S342" s="97">
        <f>COUNTIF(COMPOSANTS!B:B,A342)</f>
        <v/>
      </c>
      <c r="T342" s="97">
        <f>COUNTIFS(COMPOSANTS!B:B,A342,COMPOSANTS!G:G,"Défectueux")</f>
        <v/>
      </c>
    </row>
    <row r="343" ht="15" customHeight="1" s="59">
      <c r="J343" s="91" t="n"/>
      <c r="L343" s="91" t="n"/>
      <c r="N343" s="91" t="n"/>
      <c r="O343" s="91" t="n"/>
      <c r="S343" s="97">
        <f>COUNTIF(COMPOSANTS!B:B,A343)</f>
        <v/>
      </c>
      <c r="T343" s="97">
        <f>COUNTIFS(COMPOSANTS!B:B,A343,COMPOSANTS!G:G,"Défectueux")</f>
        <v/>
      </c>
    </row>
    <row r="344" ht="15" customHeight="1" s="59">
      <c r="J344" s="91" t="n"/>
      <c r="L344" s="91" t="n"/>
      <c r="N344" s="91" t="n"/>
      <c r="O344" s="91" t="n"/>
      <c r="S344" s="97">
        <f>COUNTIF(COMPOSANTS!B:B,A344)</f>
        <v/>
      </c>
      <c r="T344" s="97">
        <f>COUNTIFS(COMPOSANTS!B:B,A344,COMPOSANTS!G:G,"Défectueux")</f>
        <v/>
      </c>
    </row>
    <row r="345" ht="15" customHeight="1" s="59">
      <c r="J345" s="91" t="n"/>
      <c r="L345" s="91" t="n"/>
      <c r="N345" s="91" t="n"/>
      <c r="O345" s="91" t="n"/>
      <c r="S345" s="97">
        <f>COUNTIF(COMPOSANTS!B:B,A345)</f>
        <v/>
      </c>
      <c r="T345" s="97">
        <f>COUNTIFS(COMPOSANTS!B:B,A345,COMPOSANTS!G:G,"Défectueux")</f>
        <v/>
      </c>
    </row>
    <row r="346" ht="15" customHeight="1" s="59">
      <c r="J346" s="91" t="n"/>
      <c r="L346" s="91" t="n"/>
      <c r="N346" s="91" t="n"/>
      <c r="O346" s="91" t="n"/>
      <c r="S346" s="97">
        <f>COUNTIF(COMPOSANTS!B:B,A346)</f>
        <v/>
      </c>
      <c r="T346" s="97">
        <f>COUNTIFS(COMPOSANTS!B:B,A346,COMPOSANTS!G:G,"Défectueux")</f>
        <v/>
      </c>
    </row>
    <row r="347" ht="15" customHeight="1" s="59">
      <c r="J347" s="91" t="n"/>
      <c r="L347" s="91" t="n"/>
      <c r="N347" s="91" t="n"/>
      <c r="O347" s="91" t="n"/>
      <c r="S347" s="97">
        <f>COUNTIF(COMPOSANTS!B:B,A347)</f>
        <v/>
      </c>
      <c r="T347" s="97">
        <f>COUNTIFS(COMPOSANTS!B:B,A347,COMPOSANTS!G:G,"Défectueux")</f>
        <v/>
      </c>
    </row>
    <row r="348" ht="15" customHeight="1" s="59">
      <c r="J348" s="91" t="n"/>
      <c r="L348" s="91" t="n"/>
      <c r="N348" s="91" t="n"/>
      <c r="O348" s="91" t="n"/>
      <c r="S348" s="97">
        <f>COUNTIF(COMPOSANTS!B:B,A348)</f>
        <v/>
      </c>
      <c r="T348" s="97">
        <f>COUNTIFS(COMPOSANTS!B:B,A348,COMPOSANTS!G:G,"Défectueux")</f>
        <v/>
      </c>
    </row>
    <row r="349" ht="15" customHeight="1" s="59">
      <c r="J349" s="91" t="n"/>
      <c r="L349" s="91" t="n"/>
      <c r="N349" s="91" t="n"/>
      <c r="O349" s="91" t="n"/>
      <c r="S349" s="97">
        <f>COUNTIF(COMPOSANTS!B:B,A349)</f>
        <v/>
      </c>
      <c r="T349" s="97">
        <f>COUNTIFS(COMPOSANTS!B:B,A349,COMPOSANTS!G:G,"Défectueux")</f>
        <v/>
      </c>
    </row>
    <row r="350" ht="15" customHeight="1" s="59">
      <c r="J350" s="91" t="n"/>
      <c r="L350" s="91" t="n"/>
      <c r="N350" s="91" t="n"/>
      <c r="O350" s="91" t="n"/>
      <c r="S350" s="97">
        <f>COUNTIF(COMPOSANTS!B:B,A350)</f>
        <v/>
      </c>
      <c r="T350" s="97">
        <f>COUNTIFS(COMPOSANTS!B:B,A350,COMPOSANTS!G:G,"Défectueux")</f>
        <v/>
      </c>
    </row>
    <row r="351" ht="15" customHeight="1" s="59">
      <c r="J351" s="91" t="n"/>
      <c r="L351" s="91" t="n"/>
      <c r="N351" s="91" t="n"/>
      <c r="O351" s="91" t="n"/>
      <c r="S351" s="97">
        <f>COUNTIF(COMPOSANTS!B:B,A351)</f>
        <v/>
      </c>
      <c r="T351" s="97">
        <f>COUNTIFS(COMPOSANTS!B:B,A351,COMPOSANTS!G:G,"Défectueux")</f>
        <v/>
      </c>
    </row>
    <row r="352" ht="15" customHeight="1" s="59">
      <c r="J352" s="91" t="n"/>
      <c r="L352" s="91" t="n"/>
      <c r="N352" s="91" t="n"/>
      <c r="O352" s="91" t="n"/>
      <c r="S352" s="97">
        <f>COUNTIF(COMPOSANTS!B:B,A352)</f>
        <v/>
      </c>
      <c r="T352" s="97">
        <f>COUNTIFS(COMPOSANTS!B:B,A352,COMPOSANTS!G:G,"Défectueux")</f>
        <v/>
      </c>
    </row>
    <row r="353" ht="15" customHeight="1" s="59">
      <c r="J353" s="91" t="n"/>
      <c r="L353" s="91" t="n"/>
      <c r="N353" s="91" t="n"/>
      <c r="O353" s="91" t="n"/>
      <c r="S353" s="97">
        <f>COUNTIF(COMPOSANTS!B:B,A353)</f>
        <v/>
      </c>
      <c r="T353" s="97">
        <f>COUNTIFS(COMPOSANTS!B:B,A353,COMPOSANTS!G:G,"Défectueux")</f>
        <v/>
      </c>
    </row>
    <row r="354" ht="15" customHeight="1" s="59">
      <c r="J354" s="91" t="n"/>
      <c r="L354" s="91" t="n"/>
      <c r="N354" s="91" t="n"/>
      <c r="O354" s="91" t="n"/>
      <c r="S354" s="97">
        <f>COUNTIF(COMPOSANTS!B:B,A354)</f>
        <v/>
      </c>
      <c r="T354" s="97">
        <f>COUNTIFS(COMPOSANTS!B:B,A354,COMPOSANTS!G:G,"Défectueux")</f>
        <v/>
      </c>
    </row>
    <row r="355" ht="15" customHeight="1" s="59">
      <c r="J355" s="91" t="n"/>
      <c r="L355" s="91" t="n"/>
      <c r="N355" s="91" t="n"/>
      <c r="O355" s="91" t="n"/>
      <c r="S355" s="97">
        <f>COUNTIF(COMPOSANTS!B:B,A355)</f>
        <v/>
      </c>
      <c r="T355" s="97">
        <f>COUNTIFS(COMPOSANTS!B:B,A355,COMPOSANTS!G:G,"Défectueux")</f>
        <v/>
      </c>
    </row>
    <row r="356" ht="15" customHeight="1" s="59">
      <c r="J356" s="91" t="n"/>
      <c r="L356" s="91" t="n"/>
      <c r="N356" s="91" t="n"/>
      <c r="O356" s="91" t="n"/>
      <c r="S356" s="97">
        <f>COUNTIF(COMPOSANTS!B:B,A356)</f>
        <v/>
      </c>
      <c r="T356" s="97">
        <f>COUNTIFS(COMPOSANTS!B:B,A356,COMPOSANTS!G:G,"Défectueux")</f>
        <v/>
      </c>
    </row>
    <row r="357" ht="15" customHeight="1" s="59">
      <c r="J357" s="91" t="n"/>
      <c r="L357" s="91" t="n"/>
      <c r="N357" s="91" t="n"/>
      <c r="O357" s="91" t="n"/>
      <c r="S357" s="97">
        <f>COUNTIF(COMPOSANTS!B:B,A357)</f>
        <v/>
      </c>
      <c r="T357" s="97">
        <f>COUNTIFS(COMPOSANTS!B:B,A357,COMPOSANTS!G:G,"Défectueux")</f>
        <v/>
      </c>
    </row>
    <row r="358" ht="15" customHeight="1" s="59">
      <c r="J358" s="91" t="n"/>
      <c r="L358" s="91" t="n"/>
      <c r="N358" s="91" t="n"/>
      <c r="O358" s="91" t="n"/>
      <c r="S358" s="97">
        <f>COUNTIF(COMPOSANTS!B:B,A358)</f>
        <v/>
      </c>
      <c r="T358" s="97">
        <f>COUNTIFS(COMPOSANTS!B:B,A358,COMPOSANTS!G:G,"Défectueux")</f>
        <v/>
      </c>
    </row>
    <row r="359" ht="15" customHeight="1" s="59">
      <c r="J359" s="91" t="n"/>
      <c r="L359" s="91" t="n"/>
      <c r="N359" s="91" t="n"/>
      <c r="O359" s="91" t="n"/>
      <c r="S359" s="97">
        <f>COUNTIF(COMPOSANTS!B:B,A359)</f>
        <v/>
      </c>
      <c r="T359" s="97">
        <f>COUNTIFS(COMPOSANTS!B:B,A359,COMPOSANTS!G:G,"Défectueux")</f>
        <v/>
      </c>
    </row>
    <row r="360" ht="15" customHeight="1" s="59">
      <c r="J360" s="91" t="n"/>
      <c r="L360" s="91" t="n"/>
      <c r="N360" s="91" t="n"/>
      <c r="O360" s="91" t="n"/>
      <c r="S360" s="97">
        <f>COUNTIF(COMPOSANTS!B:B,A360)</f>
        <v/>
      </c>
      <c r="T360" s="97">
        <f>COUNTIFS(COMPOSANTS!B:B,A360,COMPOSANTS!G:G,"Défectueux")</f>
        <v/>
      </c>
    </row>
    <row r="361" ht="15" customHeight="1" s="59">
      <c r="J361" s="91" t="n"/>
      <c r="L361" s="91" t="n"/>
      <c r="N361" s="91" t="n"/>
      <c r="O361" s="91" t="n"/>
      <c r="S361" s="97">
        <f>COUNTIF(COMPOSANTS!B:B,A361)</f>
        <v/>
      </c>
      <c r="T361" s="97">
        <f>COUNTIFS(COMPOSANTS!B:B,A361,COMPOSANTS!G:G,"Défectueux")</f>
        <v/>
      </c>
    </row>
    <row r="362" ht="15" customHeight="1" s="59">
      <c r="J362" s="91" t="n"/>
      <c r="L362" s="91" t="n"/>
      <c r="N362" s="91" t="n"/>
      <c r="O362" s="91" t="n"/>
      <c r="S362" s="97">
        <f>COUNTIF(COMPOSANTS!B:B,A362)</f>
        <v/>
      </c>
      <c r="T362" s="97">
        <f>COUNTIFS(COMPOSANTS!B:B,A362,COMPOSANTS!G:G,"Défectueux")</f>
        <v/>
      </c>
    </row>
    <row r="363" ht="15" customHeight="1" s="59">
      <c r="J363" s="91" t="n"/>
      <c r="L363" s="91" t="n"/>
      <c r="N363" s="91" t="n"/>
      <c r="O363" s="91" t="n"/>
      <c r="S363" s="97">
        <f>COUNTIF(COMPOSANTS!B:B,A363)</f>
        <v/>
      </c>
      <c r="T363" s="97">
        <f>COUNTIFS(COMPOSANTS!B:B,A363,COMPOSANTS!G:G,"Défectueux")</f>
        <v/>
      </c>
    </row>
    <row r="364" ht="15" customHeight="1" s="59">
      <c r="J364" s="91" t="n"/>
      <c r="L364" s="91" t="n"/>
      <c r="N364" s="91" t="n"/>
      <c r="O364" s="91" t="n"/>
      <c r="S364" s="97">
        <f>COUNTIF(COMPOSANTS!B:B,A364)</f>
        <v/>
      </c>
      <c r="T364" s="97">
        <f>COUNTIFS(COMPOSANTS!B:B,A364,COMPOSANTS!G:G,"Défectueux")</f>
        <v/>
      </c>
    </row>
    <row r="365" ht="15" customHeight="1" s="59">
      <c r="J365" s="91" t="n"/>
      <c r="L365" s="91" t="n"/>
      <c r="N365" s="91" t="n"/>
      <c r="O365" s="91" t="n"/>
      <c r="S365" s="97">
        <f>COUNTIF(COMPOSANTS!B:B,A365)</f>
        <v/>
      </c>
      <c r="T365" s="97">
        <f>COUNTIFS(COMPOSANTS!B:B,A365,COMPOSANTS!G:G,"Défectueux")</f>
        <v/>
      </c>
    </row>
    <row r="366" ht="15" customHeight="1" s="59">
      <c r="J366" s="91" t="n"/>
      <c r="L366" s="91" t="n"/>
      <c r="N366" s="91" t="n"/>
      <c r="O366" s="91" t="n"/>
      <c r="S366" s="97">
        <f>COUNTIF(COMPOSANTS!B:B,A366)</f>
        <v/>
      </c>
      <c r="T366" s="97">
        <f>COUNTIFS(COMPOSANTS!B:B,A366,COMPOSANTS!G:G,"Défectueux")</f>
        <v/>
      </c>
    </row>
    <row r="367" ht="15" customHeight="1" s="59">
      <c r="J367" s="91" t="n"/>
      <c r="L367" s="91" t="n"/>
      <c r="N367" s="91" t="n"/>
      <c r="O367" s="91" t="n"/>
      <c r="S367" s="97">
        <f>COUNTIF(COMPOSANTS!B:B,A367)</f>
        <v/>
      </c>
      <c r="T367" s="97">
        <f>COUNTIFS(COMPOSANTS!B:B,A367,COMPOSANTS!G:G,"Défectueux")</f>
        <v/>
      </c>
    </row>
    <row r="368" ht="15" customHeight="1" s="59">
      <c r="J368" s="91" t="n"/>
      <c r="L368" s="91" t="n"/>
      <c r="N368" s="91" t="n"/>
      <c r="O368" s="91" t="n"/>
      <c r="S368" s="97">
        <f>COUNTIF(COMPOSANTS!B:B,A368)</f>
        <v/>
      </c>
      <c r="T368" s="97">
        <f>COUNTIFS(COMPOSANTS!B:B,A368,COMPOSANTS!G:G,"Défectueux")</f>
        <v/>
      </c>
    </row>
    <row r="369" ht="15" customHeight="1" s="59">
      <c r="J369" s="91" t="n"/>
      <c r="L369" s="91" t="n"/>
      <c r="N369" s="91" t="n"/>
      <c r="O369" s="91" t="n"/>
      <c r="S369" s="97">
        <f>COUNTIF(COMPOSANTS!B:B,A369)</f>
        <v/>
      </c>
      <c r="T369" s="97">
        <f>COUNTIFS(COMPOSANTS!B:B,A369,COMPOSANTS!G:G,"Défectueux")</f>
        <v/>
      </c>
    </row>
    <row r="370" ht="15" customHeight="1" s="59">
      <c r="J370" s="91" t="n"/>
      <c r="L370" s="91" t="n"/>
      <c r="N370" s="91" t="n"/>
      <c r="O370" s="91" t="n"/>
      <c r="S370" s="97">
        <f>COUNTIF(COMPOSANTS!B:B,A370)</f>
        <v/>
      </c>
      <c r="T370" s="97">
        <f>COUNTIFS(COMPOSANTS!B:B,A370,COMPOSANTS!G:G,"Défectueux")</f>
        <v/>
      </c>
    </row>
    <row r="371" ht="15" customHeight="1" s="59">
      <c r="J371" s="91" t="n"/>
      <c r="L371" s="91" t="n"/>
      <c r="N371" s="91" t="n"/>
      <c r="O371" s="91" t="n"/>
      <c r="S371" s="97">
        <f>COUNTIF(COMPOSANTS!B:B,A371)</f>
        <v/>
      </c>
      <c r="T371" s="97">
        <f>COUNTIFS(COMPOSANTS!B:B,A371,COMPOSANTS!G:G,"Défectueux")</f>
        <v/>
      </c>
    </row>
    <row r="372" ht="15" customHeight="1" s="59">
      <c r="J372" s="91" t="n"/>
      <c r="L372" s="91" t="n"/>
      <c r="N372" s="91" t="n"/>
      <c r="O372" s="91" t="n"/>
      <c r="S372" s="97">
        <f>COUNTIF(COMPOSANTS!B:B,A372)</f>
        <v/>
      </c>
      <c r="T372" s="97">
        <f>COUNTIFS(COMPOSANTS!B:B,A372,COMPOSANTS!G:G,"Défectueux")</f>
        <v/>
      </c>
    </row>
    <row r="373" ht="15" customHeight="1" s="59">
      <c r="J373" s="91" t="n"/>
      <c r="L373" s="91" t="n"/>
      <c r="N373" s="91" t="n"/>
      <c r="O373" s="91" t="n"/>
      <c r="S373" s="97">
        <f>COUNTIF(COMPOSANTS!B:B,A373)</f>
        <v/>
      </c>
      <c r="T373" s="97">
        <f>COUNTIFS(COMPOSANTS!B:B,A373,COMPOSANTS!G:G,"Défectueux")</f>
        <v/>
      </c>
    </row>
    <row r="374" ht="15" customHeight="1" s="59">
      <c r="J374" s="91" t="n"/>
      <c r="L374" s="91" t="n"/>
      <c r="N374" s="91" t="n"/>
      <c r="O374" s="91" t="n"/>
      <c r="S374" s="97">
        <f>COUNTIF(COMPOSANTS!B:B,A374)</f>
        <v/>
      </c>
      <c r="T374" s="97">
        <f>COUNTIFS(COMPOSANTS!B:B,A374,COMPOSANTS!G:G,"Défectueux")</f>
        <v/>
      </c>
    </row>
    <row r="375" ht="15" customHeight="1" s="59">
      <c r="J375" s="91" t="n"/>
      <c r="L375" s="91" t="n"/>
      <c r="N375" s="91" t="n"/>
      <c r="O375" s="91" t="n"/>
      <c r="S375" s="97">
        <f>COUNTIF(COMPOSANTS!B:B,A375)</f>
        <v/>
      </c>
      <c r="T375" s="97">
        <f>COUNTIFS(COMPOSANTS!B:B,A375,COMPOSANTS!G:G,"Défectueux")</f>
        <v/>
      </c>
    </row>
    <row r="376" ht="15" customHeight="1" s="59">
      <c r="J376" s="91" t="n"/>
      <c r="L376" s="91" t="n"/>
      <c r="N376" s="91" t="n"/>
      <c r="O376" s="91" t="n"/>
      <c r="S376" s="97">
        <f>COUNTIF(COMPOSANTS!B:B,A376)</f>
        <v/>
      </c>
      <c r="T376" s="97">
        <f>COUNTIFS(COMPOSANTS!B:B,A376,COMPOSANTS!G:G,"Défectueux")</f>
        <v/>
      </c>
    </row>
    <row r="377" ht="15" customHeight="1" s="59">
      <c r="J377" s="91" t="n"/>
      <c r="L377" s="91" t="n"/>
      <c r="N377" s="91" t="n"/>
      <c r="O377" s="91" t="n"/>
      <c r="S377" s="97">
        <f>COUNTIF(COMPOSANTS!B:B,A377)</f>
        <v/>
      </c>
      <c r="T377" s="97">
        <f>COUNTIFS(COMPOSANTS!B:B,A377,COMPOSANTS!G:G,"Défectueux")</f>
        <v/>
      </c>
    </row>
    <row r="378" ht="15" customHeight="1" s="59">
      <c r="J378" s="91" t="n"/>
      <c r="L378" s="91" t="n"/>
      <c r="N378" s="91" t="n"/>
      <c r="O378" s="91" t="n"/>
      <c r="S378" s="97">
        <f>COUNTIF(COMPOSANTS!B:B,A378)</f>
        <v/>
      </c>
      <c r="T378" s="97">
        <f>COUNTIFS(COMPOSANTS!B:B,A378,COMPOSANTS!G:G,"Défectueux")</f>
        <v/>
      </c>
    </row>
    <row r="379" ht="15" customHeight="1" s="59">
      <c r="J379" s="91" t="n"/>
      <c r="L379" s="91" t="n"/>
      <c r="N379" s="91" t="n"/>
      <c r="O379" s="91" t="n"/>
      <c r="S379" s="97">
        <f>COUNTIF(COMPOSANTS!B:B,A379)</f>
        <v/>
      </c>
      <c r="T379" s="97">
        <f>COUNTIFS(COMPOSANTS!B:B,A379,COMPOSANTS!G:G,"Défectueux")</f>
        <v/>
      </c>
    </row>
    <row r="380" ht="15" customHeight="1" s="59">
      <c r="J380" s="91" t="n"/>
      <c r="L380" s="91" t="n"/>
      <c r="N380" s="91" t="n"/>
      <c r="O380" s="91" t="n"/>
      <c r="S380" s="97">
        <f>COUNTIF(COMPOSANTS!B:B,A380)</f>
        <v/>
      </c>
      <c r="T380" s="97">
        <f>COUNTIFS(COMPOSANTS!B:B,A380,COMPOSANTS!G:G,"Défectueux")</f>
        <v/>
      </c>
    </row>
    <row r="381" ht="15" customHeight="1" s="59">
      <c r="J381" s="91" t="n"/>
      <c r="L381" s="91" t="n"/>
      <c r="N381" s="91" t="n"/>
      <c r="O381" s="91" t="n"/>
      <c r="S381" s="97">
        <f>COUNTIF(COMPOSANTS!B:B,A381)</f>
        <v/>
      </c>
      <c r="T381" s="97">
        <f>COUNTIFS(COMPOSANTS!B:B,A381,COMPOSANTS!G:G,"Défectueux")</f>
        <v/>
      </c>
    </row>
    <row r="382" ht="15" customHeight="1" s="59">
      <c r="J382" s="91" t="n"/>
      <c r="L382" s="91" t="n"/>
      <c r="N382" s="91" t="n"/>
      <c r="O382" s="91" t="n"/>
      <c r="S382" s="97">
        <f>COUNTIF(COMPOSANTS!B:B,A382)</f>
        <v/>
      </c>
      <c r="T382" s="97">
        <f>COUNTIFS(COMPOSANTS!B:B,A382,COMPOSANTS!G:G,"Défectueux")</f>
        <v/>
      </c>
    </row>
    <row r="383" ht="15" customHeight="1" s="59">
      <c r="J383" s="91" t="n"/>
      <c r="L383" s="91" t="n"/>
      <c r="N383" s="91" t="n"/>
      <c r="O383" s="91" t="n"/>
      <c r="S383" s="97">
        <f>COUNTIF(COMPOSANTS!B:B,A383)</f>
        <v/>
      </c>
      <c r="T383" s="97">
        <f>COUNTIFS(COMPOSANTS!B:B,A383,COMPOSANTS!G:G,"Défectueux")</f>
        <v/>
      </c>
    </row>
    <row r="384" ht="15" customHeight="1" s="59">
      <c r="J384" s="91" t="n"/>
      <c r="L384" s="91" t="n"/>
      <c r="N384" s="91" t="n"/>
      <c r="O384" s="91" t="n"/>
      <c r="S384" s="97">
        <f>COUNTIF(COMPOSANTS!B:B,A384)</f>
        <v/>
      </c>
      <c r="T384" s="97">
        <f>COUNTIFS(COMPOSANTS!B:B,A384,COMPOSANTS!G:G,"Défectueux")</f>
        <v/>
      </c>
    </row>
    <row r="385" ht="15" customHeight="1" s="59">
      <c r="J385" s="91" t="n"/>
      <c r="L385" s="91" t="n"/>
      <c r="N385" s="91" t="n"/>
      <c r="O385" s="91" t="n"/>
      <c r="S385" s="97">
        <f>COUNTIF(COMPOSANTS!B:B,A385)</f>
        <v/>
      </c>
      <c r="T385" s="97">
        <f>COUNTIFS(COMPOSANTS!B:B,A385,COMPOSANTS!G:G,"Défectueux")</f>
        <v/>
      </c>
    </row>
    <row r="386" ht="15" customHeight="1" s="59">
      <c r="J386" s="91" t="n"/>
      <c r="L386" s="91" t="n"/>
      <c r="N386" s="91" t="n"/>
      <c r="O386" s="91" t="n"/>
      <c r="S386" s="97">
        <f>COUNTIF(COMPOSANTS!B:B,A386)</f>
        <v/>
      </c>
      <c r="T386" s="97">
        <f>COUNTIFS(COMPOSANTS!B:B,A386,COMPOSANTS!G:G,"Défectueux")</f>
        <v/>
      </c>
    </row>
    <row r="387" ht="15" customHeight="1" s="59">
      <c r="J387" s="91" t="n"/>
      <c r="L387" s="91" t="n"/>
      <c r="N387" s="91" t="n"/>
      <c r="O387" s="91" t="n"/>
      <c r="S387" s="97">
        <f>COUNTIF(COMPOSANTS!B:B,A387)</f>
        <v/>
      </c>
      <c r="T387" s="97">
        <f>COUNTIFS(COMPOSANTS!B:B,A387,COMPOSANTS!G:G,"Défectueux")</f>
        <v/>
      </c>
    </row>
    <row r="388" ht="15" customHeight="1" s="59">
      <c r="J388" s="91" t="n"/>
      <c r="L388" s="91" t="n"/>
      <c r="N388" s="91" t="n"/>
      <c r="O388" s="91" t="n"/>
      <c r="S388" s="97">
        <f>COUNTIF(COMPOSANTS!B:B,A388)</f>
        <v/>
      </c>
      <c r="T388" s="97">
        <f>COUNTIFS(COMPOSANTS!B:B,A388,COMPOSANTS!G:G,"Défectueux")</f>
        <v/>
      </c>
    </row>
    <row r="389" ht="15" customHeight="1" s="59">
      <c r="J389" s="91" t="n"/>
      <c r="L389" s="91" t="n"/>
      <c r="N389" s="91" t="n"/>
      <c r="O389" s="91" t="n"/>
      <c r="S389" s="97">
        <f>COUNTIF(COMPOSANTS!B:B,A389)</f>
        <v/>
      </c>
      <c r="T389" s="97">
        <f>COUNTIFS(COMPOSANTS!B:B,A389,COMPOSANTS!G:G,"Défectueux")</f>
        <v/>
      </c>
    </row>
    <row r="390" ht="15" customHeight="1" s="59">
      <c r="J390" s="91" t="n"/>
      <c r="L390" s="91" t="n"/>
      <c r="N390" s="91" t="n"/>
      <c r="O390" s="91" t="n"/>
      <c r="S390" s="97">
        <f>COUNTIF(COMPOSANTS!B:B,A390)</f>
        <v/>
      </c>
      <c r="T390" s="97">
        <f>COUNTIFS(COMPOSANTS!B:B,A390,COMPOSANTS!G:G,"Défectueux")</f>
        <v/>
      </c>
    </row>
    <row r="391" ht="15" customHeight="1" s="59">
      <c r="J391" s="91" t="n"/>
      <c r="L391" s="91" t="n"/>
      <c r="N391" s="91" t="n"/>
      <c r="O391" s="91" t="n"/>
      <c r="S391" s="97">
        <f>COUNTIF(COMPOSANTS!B:B,A391)</f>
        <v/>
      </c>
      <c r="T391" s="97">
        <f>COUNTIFS(COMPOSANTS!B:B,A391,COMPOSANTS!G:G,"Défectueux")</f>
        <v/>
      </c>
    </row>
    <row r="392" ht="15" customHeight="1" s="59">
      <c r="J392" s="91" t="n"/>
      <c r="L392" s="91" t="n"/>
      <c r="N392" s="91" t="n"/>
      <c r="O392" s="91" t="n"/>
      <c r="S392" s="97">
        <f>COUNTIF(COMPOSANTS!B:B,A392)</f>
        <v/>
      </c>
      <c r="T392" s="97">
        <f>COUNTIFS(COMPOSANTS!B:B,A392,COMPOSANTS!G:G,"Défectueux")</f>
        <v/>
      </c>
    </row>
    <row r="393" ht="15" customHeight="1" s="59">
      <c r="J393" s="91" t="n"/>
      <c r="L393" s="91" t="n"/>
      <c r="N393" s="91" t="n"/>
      <c r="O393" s="91" t="n"/>
      <c r="S393" s="97">
        <f>COUNTIF(COMPOSANTS!B:B,A393)</f>
        <v/>
      </c>
      <c r="T393" s="97">
        <f>COUNTIFS(COMPOSANTS!B:B,A393,COMPOSANTS!G:G,"Défectueux")</f>
        <v/>
      </c>
    </row>
    <row r="394" ht="15" customHeight="1" s="59">
      <c r="J394" s="91" t="n"/>
      <c r="L394" s="91" t="n"/>
      <c r="N394" s="91" t="n"/>
      <c r="O394" s="91" t="n"/>
      <c r="S394" s="97">
        <f>COUNTIF(COMPOSANTS!B:B,A394)</f>
        <v/>
      </c>
      <c r="T394" s="97">
        <f>COUNTIFS(COMPOSANTS!B:B,A394,COMPOSANTS!G:G,"Défectueux")</f>
        <v/>
      </c>
    </row>
    <row r="395" ht="15" customHeight="1" s="59">
      <c r="J395" s="91" t="n"/>
      <c r="L395" s="91" t="n"/>
      <c r="N395" s="91" t="n"/>
      <c r="O395" s="91" t="n"/>
      <c r="S395" s="97">
        <f>COUNTIF(COMPOSANTS!B:B,A395)</f>
        <v/>
      </c>
      <c r="T395" s="97">
        <f>COUNTIFS(COMPOSANTS!B:B,A395,COMPOSANTS!G:G,"Défectueux")</f>
        <v/>
      </c>
    </row>
    <row r="396" ht="15" customHeight="1" s="59">
      <c r="J396" s="91" t="n"/>
      <c r="L396" s="91" t="n"/>
      <c r="N396" s="91" t="n"/>
      <c r="O396" s="91" t="n"/>
      <c r="S396" s="97">
        <f>COUNTIF(COMPOSANTS!B:B,A396)</f>
        <v/>
      </c>
      <c r="T396" s="97">
        <f>COUNTIFS(COMPOSANTS!B:B,A396,COMPOSANTS!G:G,"Défectueux")</f>
        <v/>
      </c>
    </row>
    <row r="397" ht="15" customHeight="1" s="59">
      <c r="J397" s="91" t="n"/>
      <c r="L397" s="91" t="n"/>
      <c r="N397" s="91" t="n"/>
      <c r="O397" s="91" t="n"/>
      <c r="S397" s="97">
        <f>COUNTIF(COMPOSANTS!B:B,A397)</f>
        <v/>
      </c>
      <c r="T397" s="97">
        <f>COUNTIFS(COMPOSANTS!B:B,A397,COMPOSANTS!G:G,"Défectueux")</f>
        <v/>
      </c>
    </row>
    <row r="398" ht="15" customHeight="1" s="59">
      <c r="J398" s="91" t="n"/>
      <c r="L398" s="91" t="n"/>
      <c r="N398" s="91" t="n"/>
      <c r="O398" s="91" t="n"/>
      <c r="S398" s="97">
        <f>COUNTIF(COMPOSANTS!B:B,A398)</f>
        <v/>
      </c>
      <c r="T398" s="97">
        <f>COUNTIFS(COMPOSANTS!B:B,A398,COMPOSANTS!G:G,"Défectueux")</f>
        <v/>
      </c>
    </row>
    <row r="399" ht="15" customHeight="1" s="59">
      <c r="J399" s="91" t="n"/>
      <c r="L399" s="91" t="n"/>
      <c r="N399" s="91" t="n"/>
      <c r="O399" s="91" t="n"/>
      <c r="S399" s="97">
        <f>COUNTIF(COMPOSANTS!B:B,A399)</f>
        <v/>
      </c>
      <c r="T399" s="97">
        <f>COUNTIFS(COMPOSANTS!B:B,A399,COMPOSANTS!G:G,"Défectueux")</f>
        <v/>
      </c>
    </row>
    <row r="400" ht="15" customHeight="1" s="59">
      <c r="J400" s="91" t="n"/>
      <c r="L400" s="91" t="n"/>
      <c r="N400" s="91" t="n"/>
      <c r="O400" s="91" t="n"/>
      <c r="S400" s="97">
        <f>COUNTIF(COMPOSANTS!B:B,A400)</f>
        <v/>
      </c>
      <c r="T400" s="97">
        <f>COUNTIFS(COMPOSANTS!B:B,A400,COMPOSANTS!G:G,"Défectueux")</f>
        <v/>
      </c>
    </row>
    <row r="401" ht="15" customHeight="1" s="59">
      <c r="J401" s="91" t="n"/>
      <c r="L401" s="91" t="n"/>
      <c r="N401" s="91" t="n"/>
      <c r="O401" s="91" t="n"/>
      <c r="S401" s="97">
        <f>COUNTIF(COMPOSANTS!B:B,A401)</f>
        <v/>
      </c>
      <c r="T401" s="97">
        <f>COUNTIFS(COMPOSANTS!B:B,A401,COMPOSANTS!G:G,"Défectueux")</f>
        <v/>
      </c>
    </row>
    <row r="402" ht="15" customHeight="1" s="59">
      <c r="J402" s="91" t="n"/>
      <c r="L402" s="91" t="n"/>
      <c r="N402" s="91" t="n"/>
      <c r="O402" s="91" t="n"/>
      <c r="S402" s="97">
        <f>COUNTIF(COMPOSANTS!B:B,A402)</f>
        <v/>
      </c>
      <c r="T402" s="97">
        <f>COUNTIFS(COMPOSANTS!B:B,A402,COMPOSANTS!G:G,"Défectueux")</f>
        <v/>
      </c>
    </row>
    <row r="403" ht="15" customHeight="1" s="59">
      <c r="J403" s="91" t="n"/>
      <c r="L403" s="91" t="n"/>
      <c r="N403" s="91" t="n"/>
      <c r="O403" s="91" t="n"/>
      <c r="S403" s="97">
        <f>COUNTIF(COMPOSANTS!B:B,A403)</f>
        <v/>
      </c>
      <c r="T403" s="97">
        <f>COUNTIFS(COMPOSANTS!B:B,A403,COMPOSANTS!G:G,"Défectueux")</f>
        <v/>
      </c>
    </row>
    <row r="404" ht="15" customHeight="1" s="59">
      <c r="J404" s="91" t="n"/>
      <c r="L404" s="91" t="n"/>
      <c r="N404" s="91" t="n"/>
      <c r="O404" s="91" t="n"/>
      <c r="S404" s="97">
        <f>COUNTIF(COMPOSANTS!B:B,A404)</f>
        <v/>
      </c>
      <c r="T404" s="97">
        <f>COUNTIFS(COMPOSANTS!B:B,A404,COMPOSANTS!G:G,"Défectueux")</f>
        <v/>
      </c>
    </row>
    <row r="405" ht="15" customHeight="1" s="59">
      <c r="J405" s="91" t="n"/>
      <c r="L405" s="91" t="n"/>
      <c r="N405" s="91" t="n"/>
      <c r="O405" s="91" t="n"/>
      <c r="S405" s="97">
        <f>COUNTIF(COMPOSANTS!B:B,A405)</f>
        <v/>
      </c>
      <c r="T405" s="97">
        <f>COUNTIFS(COMPOSANTS!B:B,A405,COMPOSANTS!G:G,"Défectueux")</f>
        <v/>
      </c>
    </row>
    <row r="406" ht="15" customHeight="1" s="59">
      <c r="J406" s="91" t="n"/>
      <c r="L406" s="91" t="n"/>
      <c r="N406" s="91" t="n"/>
      <c r="O406" s="91" t="n"/>
      <c r="S406" s="97">
        <f>COUNTIF(COMPOSANTS!B:B,A406)</f>
        <v/>
      </c>
      <c r="T406" s="97">
        <f>COUNTIFS(COMPOSANTS!B:B,A406,COMPOSANTS!G:G,"Défectueux")</f>
        <v/>
      </c>
    </row>
    <row r="407" ht="15" customHeight="1" s="59">
      <c r="J407" s="91" t="n"/>
      <c r="L407" s="91" t="n"/>
      <c r="N407" s="91" t="n"/>
      <c r="O407" s="91" t="n"/>
      <c r="S407" s="97">
        <f>COUNTIF(COMPOSANTS!B:B,A407)</f>
        <v/>
      </c>
      <c r="T407" s="97">
        <f>COUNTIFS(COMPOSANTS!B:B,A407,COMPOSANTS!G:G,"Défectueux")</f>
        <v/>
      </c>
    </row>
    <row r="408" ht="15" customHeight="1" s="59">
      <c r="J408" s="91" t="n"/>
      <c r="L408" s="91" t="n"/>
      <c r="N408" s="91" t="n"/>
      <c r="O408" s="91" t="n"/>
      <c r="S408" s="97">
        <f>COUNTIF(COMPOSANTS!B:B,A408)</f>
        <v/>
      </c>
      <c r="T408" s="97">
        <f>COUNTIFS(COMPOSANTS!B:B,A408,COMPOSANTS!G:G,"Défectueux")</f>
        <v/>
      </c>
    </row>
    <row r="409" ht="15" customHeight="1" s="59">
      <c r="J409" s="91" t="n"/>
      <c r="L409" s="91" t="n"/>
      <c r="N409" s="91" t="n"/>
      <c r="O409" s="91" t="n"/>
      <c r="S409" s="97">
        <f>COUNTIF(COMPOSANTS!B:B,A409)</f>
        <v/>
      </c>
      <c r="T409" s="97">
        <f>COUNTIFS(COMPOSANTS!B:B,A409,COMPOSANTS!G:G,"Défectueux")</f>
        <v/>
      </c>
    </row>
    <row r="410" ht="15" customHeight="1" s="59">
      <c r="J410" s="91" t="n"/>
      <c r="L410" s="91" t="n"/>
      <c r="N410" s="91" t="n"/>
      <c r="O410" s="91" t="n"/>
      <c r="S410" s="97">
        <f>COUNTIF(COMPOSANTS!B:B,A410)</f>
        <v/>
      </c>
      <c r="T410" s="97">
        <f>COUNTIFS(COMPOSANTS!B:B,A410,COMPOSANTS!G:G,"Défectueux")</f>
        <v/>
      </c>
    </row>
    <row r="411" ht="15" customHeight="1" s="59">
      <c r="J411" s="91" t="n"/>
      <c r="L411" s="91" t="n"/>
      <c r="N411" s="91" t="n"/>
      <c r="O411" s="91" t="n"/>
      <c r="S411" s="97">
        <f>COUNTIF(COMPOSANTS!B:B,A411)</f>
        <v/>
      </c>
      <c r="T411" s="97">
        <f>COUNTIFS(COMPOSANTS!B:B,A411,COMPOSANTS!G:G,"Défectueux")</f>
        <v/>
      </c>
    </row>
    <row r="412" ht="15" customHeight="1" s="59">
      <c r="J412" s="91" t="n"/>
      <c r="L412" s="91" t="n"/>
      <c r="N412" s="91" t="n"/>
      <c r="O412" s="91" t="n"/>
      <c r="S412" s="97">
        <f>COUNTIF(COMPOSANTS!B:B,A412)</f>
        <v/>
      </c>
      <c r="T412" s="97">
        <f>COUNTIFS(COMPOSANTS!B:B,A412,COMPOSANTS!G:G,"Défectueux")</f>
        <v/>
      </c>
    </row>
    <row r="413" ht="15" customHeight="1" s="59">
      <c r="J413" s="91" t="n"/>
      <c r="L413" s="91" t="n"/>
      <c r="N413" s="91" t="n"/>
      <c r="O413" s="91" t="n"/>
      <c r="S413" s="97">
        <f>COUNTIF(COMPOSANTS!B:B,A413)</f>
        <v/>
      </c>
      <c r="T413" s="97">
        <f>COUNTIFS(COMPOSANTS!B:B,A413,COMPOSANTS!G:G,"Défectueux")</f>
        <v/>
      </c>
    </row>
    <row r="414" ht="15" customHeight="1" s="59">
      <c r="J414" s="91" t="n"/>
      <c r="L414" s="91" t="n"/>
      <c r="N414" s="91" t="n"/>
      <c r="O414" s="91" t="n"/>
      <c r="S414" s="97">
        <f>COUNTIF(COMPOSANTS!B:B,A414)</f>
        <v/>
      </c>
      <c r="T414" s="97">
        <f>COUNTIFS(COMPOSANTS!B:B,A414,COMPOSANTS!G:G,"Défectueux")</f>
        <v/>
      </c>
    </row>
    <row r="415" ht="15" customHeight="1" s="59">
      <c r="J415" s="91" t="n"/>
      <c r="L415" s="91" t="n"/>
      <c r="N415" s="91" t="n"/>
      <c r="O415" s="91" t="n"/>
      <c r="S415" s="97">
        <f>COUNTIF(COMPOSANTS!B:B,A415)</f>
        <v/>
      </c>
      <c r="T415" s="97">
        <f>COUNTIFS(COMPOSANTS!B:B,A415,COMPOSANTS!G:G,"Défectueux")</f>
        <v/>
      </c>
    </row>
    <row r="416" ht="15" customHeight="1" s="59">
      <c r="J416" s="91" t="n"/>
      <c r="L416" s="91" t="n"/>
      <c r="N416" s="91" t="n"/>
      <c r="O416" s="91" t="n"/>
      <c r="S416" s="97">
        <f>COUNTIF(COMPOSANTS!B:B,A416)</f>
        <v/>
      </c>
      <c r="T416" s="97">
        <f>COUNTIFS(COMPOSANTS!B:B,A416,COMPOSANTS!G:G,"Défectueux")</f>
        <v/>
      </c>
    </row>
    <row r="417" ht="15" customHeight="1" s="59">
      <c r="J417" s="91" t="n"/>
      <c r="L417" s="91" t="n"/>
      <c r="N417" s="91" t="n"/>
      <c r="O417" s="91" t="n"/>
      <c r="S417" s="97">
        <f>COUNTIF(COMPOSANTS!B:B,A417)</f>
        <v/>
      </c>
      <c r="T417" s="97">
        <f>COUNTIFS(COMPOSANTS!B:B,A417,COMPOSANTS!G:G,"Défectueux")</f>
        <v/>
      </c>
    </row>
    <row r="418" ht="15" customHeight="1" s="59">
      <c r="J418" s="91" t="n"/>
      <c r="L418" s="91" t="n"/>
      <c r="N418" s="91" t="n"/>
      <c r="O418" s="91" t="n"/>
      <c r="S418" s="97">
        <f>COUNTIF(COMPOSANTS!B:B,A418)</f>
        <v/>
      </c>
      <c r="T418" s="97">
        <f>COUNTIFS(COMPOSANTS!B:B,A418,COMPOSANTS!G:G,"Défectueux")</f>
        <v/>
      </c>
    </row>
    <row r="419" ht="15" customHeight="1" s="59">
      <c r="J419" s="91" t="n"/>
      <c r="L419" s="91" t="n"/>
      <c r="N419" s="91" t="n"/>
      <c r="O419" s="91" t="n"/>
      <c r="S419" s="97">
        <f>COUNTIF(COMPOSANTS!B:B,A419)</f>
        <v/>
      </c>
      <c r="T419" s="97">
        <f>COUNTIFS(COMPOSANTS!B:B,A419,COMPOSANTS!G:G,"Défectueux")</f>
        <v/>
      </c>
    </row>
    <row r="420" ht="15" customHeight="1" s="59">
      <c r="J420" s="91" t="n"/>
      <c r="L420" s="91" t="n"/>
      <c r="N420" s="91" t="n"/>
      <c r="O420" s="91" t="n"/>
      <c r="S420" s="97">
        <f>COUNTIF(COMPOSANTS!B:B,A420)</f>
        <v/>
      </c>
      <c r="T420" s="97">
        <f>COUNTIFS(COMPOSANTS!B:B,A420,COMPOSANTS!G:G,"Défectueux")</f>
        <v/>
      </c>
    </row>
    <row r="421" ht="15" customHeight="1" s="59">
      <c r="J421" s="91" t="n"/>
      <c r="L421" s="91" t="n"/>
      <c r="N421" s="91" t="n"/>
      <c r="O421" s="91" t="n"/>
      <c r="S421" s="97">
        <f>COUNTIF(COMPOSANTS!B:B,A421)</f>
        <v/>
      </c>
      <c r="T421" s="97">
        <f>COUNTIFS(COMPOSANTS!B:B,A421,COMPOSANTS!G:G,"Défectueux")</f>
        <v/>
      </c>
    </row>
    <row r="422" ht="15" customHeight="1" s="59">
      <c r="J422" s="91" t="n"/>
      <c r="L422" s="91" t="n"/>
      <c r="N422" s="91" t="n"/>
      <c r="O422" s="91" t="n"/>
      <c r="S422" s="97">
        <f>COUNTIF(COMPOSANTS!B:B,A422)</f>
        <v/>
      </c>
      <c r="T422" s="97">
        <f>COUNTIFS(COMPOSANTS!B:B,A422,COMPOSANTS!G:G,"Défectueux")</f>
        <v/>
      </c>
    </row>
    <row r="423" ht="15" customHeight="1" s="59">
      <c r="J423" s="91" t="n"/>
      <c r="L423" s="91" t="n"/>
      <c r="N423" s="91" t="n"/>
      <c r="O423" s="91" t="n"/>
      <c r="S423" s="97">
        <f>COUNTIF(COMPOSANTS!B:B,A423)</f>
        <v/>
      </c>
      <c r="T423" s="97">
        <f>COUNTIFS(COMPOSANTS!B:B,A423,COMPOSANTS!G:G,"Défectueux")</f>
        <v/>
      </c>
    </row>
    <row r="424" ht="15" customHeight="1" s="59">
      <c r="J424" s="91" t="n"/>
      <c r="L424" s="91" t="n"/>
      <c r="N424" s="91" t="n"/>
      <c r="O424" s="91" t="n"/>
      <c r="S424" s="97">
        <f>COUNTIF(COMPOSANTS!B:B,A424)</f>
        <v/>
      </c>
      <c r="T424" s="97">
        <f>COUNTIFS(COMPOSANTS!B:B,A424,COMPOSANTS!G:G,"Défectueux")</f>
        <v/>
      </c>
    </row>
    <row r="425" ht="15" customHeight="1" s="59">
      <c r="J425" s="91" t="n"/>
      <c r="L425" s="91" t="n"/>
      <c r="N425" s="91" t="n"/>
      <c r="O425" s="91" t="n"/>
      <c r="S425" s="97">
        <f>COUNTIF(COMPOSANTS!B:B,A425)</f>
        <v/>
      </c>
      <c r="T425" s="97">
        <f>COUNTIFS(COMPOSANTS!B:B,A425,COMPOSANTS!G:G,"Défectueux")</f>
        <v/>
      </c>
    </row>
    <row r="426" ht="15" customHeight="1" s="59">
      <c r="J426" s="91" t="n"/>
      <c r="L426" s="91" t="n"/>
      <c r="N426" s="91" t="n"/>
      <c r="O426" s="91" t="n"/>
      <c r="S426" s="97">
        <f>COUNTIF(COMPOSANTS!B:B,A426)</f>
        <v/>
      </c>
      <c r="T426" s="97">
        <f>COUNTIFS(COMPOSANTS!B:B,A426,COMPOSANTS!G:G,"Défectueux")</f>
        <v/>
      </c>
    </row>
    <row r="427" ht="15" customHeight="1" s="59">
      <c r="J427" s="91" t="n"/>
      <c r="L427" s="91" t="n"/>
      <c r="N427" s="91" t="n"/>
      <c r="O427" s="91" t="n"/>
      <c r="S427" s="97">
        <f>COUNTIF(COMPOSANTS!B:B,A427)</f>
        <v/>
      </c>
      <c r="T427" s="97">
        <f>COUNTIFS(COMPOSANTS!B:B,A427,COMPOSANTS!G:G,"Défectueux")</f>
        <v/>
      </c>
    </row>
    <row r="428" ht="15" customHeight="1" s="59">
      <c r="J428" s="91" t="n"/>
      <c r="L428" s="91" t="n"/>
      <c r="N428" s="91" t="n"/>
      <c r="O428" s="91" t="n"/>
      <c r="S428" s="97">
        <f>COUNTIF(COMPOSANTS!B:B,A428)</f>
        <v/>
      </c>
      <c r="T428" s="97">
        <f>COUNTIFS(COMPOSANTS!B:B,A428,COMPOSANTS!G:G,"Défectueux")</f>
        <v/>
      </c>
    </row>
    <row r="429" ht="15" customHeight="1" s="59">
      <c r="J429" s="91" t="n"/>
      <c r="L429" s="91" t="n"/>
      <c r="N429" s="91" t="n"/>
      <c r="O429" s="91" t="n"/>
      <c r="S429" s="97">
        <f>COUNTIF(COMPOSANTS!B:B,A429)</f>
        <v/>
      </c>
      <c r="T429" s="97">
        <f>COUNTIFS(COMPOSANTS!B:B,A429,COMPOSANTS!G:G,"Défectueux")</f>
        <v/>
      </c>
    </row>
    <row r="430" ht="15" customHeight="1" s="59">
      <c r="J430" s="91" t="n"/>
      <c r="L430" s="91" t="n"/>
      <c r="N430" s="91" t="n"/>
      <c r="O430" s="91" t="n"/>
      <c r="S430" s="97">
        <f>COUNTIF(COMPOSANTS!B:B,A430)</f>
        <v/>
      </c>
      <c r="T430" s="97">
        <f>COUNTIFS(COMPOSANTS!B:B,A430,COMPOSANTS!G:G,"Défectueux")</f>
        <v/>
      </c>
    </row>
    <row r="431" ht="15" customHeight="1" s="59">
      <c r="J431" s="91" t="n"/>
      <c r="L431" s="91" t="n"/>
      <c r="N431" s="91" t="n"/>
      <c r="O431" s="91" t="n"/>
      <c r="S431" s="97">
        <f>COUNTIF(COMPOSANTS!B:B,A431)</f>
        <v/>
      </c>
      <c r="T431" s="97">
        <f>COUNTIFS(COMPOSANTS!B:B,A431,COMPOSANTS!G:G,"Défectueux")</f>
        <v/>
      </c>
    </row>
    <row r="432" ht="15" customHeight="1" s="59">
      <c r="J432" s="91" t="n"/>
      <c r="L432" s="91" t="n"/>
      <c r="N432" s="91" t="n"/>
      <c r="O432" s="91" t="n"/>
      <c r="S432" s="97">
        <f>COUNTIF(COMPOSANTS!B:B,A432)</f>
        <v/>
      </c>
      <c r="T432" s="97">
        <f>COUNTIFS(COMPOSANTS!B:B,A432,COMPOSANTS!G:G,"Défectueux")</f>
        <v/>
      </c>
    </row>
    <row r="433" ht="15" customHeight="1" s="59">
      <c r="J433" s="91" t="n"/>
      <c r="L433" s="91" t="n"/>
      <c r="N433" s="91" t="n"/>
      <c r="O433" s="91" t="n"/>
      <c r="S433" s="97">
        <f>COUNTIF(COMPOSANTS!B:B,A433)</f>
        <v/>
      </c>
      <c r="T433" s="97">
        <f>COUNTIFS(COMPOSANTS!B:B,A433,COMPOSANTS!G:G,"Défectueux")</f>
        <v/>
      </c>
    </row>
    <row r="434" ht="15" customHeight="1" s="59">
      <c r="J434" s="91" t="n"/>
      <c r="L434" s="91" t="n"/>
      <c r="N434" s="91" t="n"/>
      <c r="O434" s="91" t="n"/>
      <c r="S434" s="97">
        <f>COUNTIF(COMPOSANTS!B:B,A434)</f>
        <v/>
      </c>
      <c r="T434" s="97">
        <f>COUNTIFS(COMPOSANTS!B:B,A434,COMPOSANTS!G:G,"Défectueux")</f>
        <v/>
      </c>
    </row>
    <row r="435" ht="15" customHeight="1" s="59">
      <c r="J435" s="91" t="n"/>
      <c r="L435" s="91" t="n"/>
      <c r="N435" s="91" t="n"/>
      <c r="O435" s="91" t="n"/>
      <c r="S435" s="97">
        <f>COUNTIF(COMPOSANTS!B:B,A435)</f>
        <v/>
      </c>
      <c r="T435" s="97">
        <f>COUNTIFS(COMPOSANTS!B:B,A435,COMPOSANTS!G:G,"Défectueux")</f>
        <v/>
      </c>
    </row>
    <row r="436" ht="15" customHeight="1" s="59">
      <c r="J436" s="91" t="n"/>
      <c r="L436" s="91" t="n"/>
      <c r="N436" s="91" t="n"/>
      <c r="O436" s="91" t="n"/>
      <c r="S436" s="97">
        <f>COUNTIF(COMPOSANTS!B:B,A436)</f>
        <v/>
      </c>
      <c r="T436" s="97">
        <f>COUNTIFS(COMPOSANTS!B:B,A436,COMPOSANTS!G:G,"Défectueux")</f>
        <v/>
      </c>
    </row>
    <row r="437" ht="15" customHeight="1" s="59">
      <c r="J437" s="91" t="n"/>
      <c r="L437" s="91" t="n"/>
      <c r="N437" s="91" t="n"/>
      <c r="O437" s="91" t="n"/>
      <c r="S437" s="97">
        <f>COUNTIF(COMPOSANTS!B:B,A437)</f>
        <v/>
      </c>
      <c r="T437" s="97">
        <f>COUNTIFS(COMPOSANTS!B:B,A437,COMPOSANTS!G:G,"Défectueux")</f>
        <v/>
      </c>
    </row>
    <row r="438" ht="15" customHeight="1" s="59">
      <c r="J438" s="91" t="n"/>
      <c r="L438" s="91" t="n"/>
      <c r="N438" s="91" t="n"/>
      <c r="O438" s="91" t="n"/>
      <c r="S438" s="97">
        <f>COUNTIF(COMPOSANTS!B:B,A438)</f>
        <v/>
      </c>
      <c r="T438" s="97">
        <f>COUNTIFS(COMPOSANTS!B:B,A438,COMPOSANTS!G:G,"Défectueux")</f>
        <v/>
      </c>
    </row>
    <row r="439" ht="15" customHeight="1" s="59">
      <c r="J439" s="91" t="n"/>
      <c r="L439" s="91" t="n"/>
      <c r="N439" s="91" t="n"/>
      <c r="O439" s="91" t="n"/>
      <c r="S439" s="97">
        <f>COUNTIF(COMPOSANTS!B:B,A439)</f>
        <v/>
      </c>
      <c r="T439" s="97">
        <f>COUNTIFS(COMPOSANTS!B:B,A439,COMPOSANTS!G:G,"Défectueux")</f>
        <v/>
      </c>
    </row>
    <row r="440" ht="15" customHeight="1" s="59">
      <c r="J440" s="91" t="n"/>
      <c r="L440" s="91" t="n"/>
      <c r="N440" s="91" t="n"/>
      <c r="O440" s="91" t="n"/>
      <c r="S440" s="97">
        <f>COUNTIF(COMPOSANTS!B:B,A440)</f>
        <v/>
      </c>
      <c r="T440" s="97">
        <f>COUNTIFS(COMPOSANTS!B:B,A440,COMPOSANTS!G:G,"Défectueux")</f>
        <v/>
      </c>
    </row>
    <row r="441" ht="15" customHeight="1" s="59">
      <c r="J441" s="91" t="n"/>
      <c r="L441" s="91" t="n"/>
      <c r="N441" s="91" t="n"/>
      <c r="O441" s="91" t="n"/>
      <c r="S441" s="97">
        <f>COUNTIF(COMPOSANTS!B:B,A441)</f>
        <v/>
      </c>
      <c r="T441" s="97">
        <f>COUNTIFS(COMPOSANTS!B:B,A441,COMPOSANTS!G:G,"Défectueux")</f>
        <v/>
      </c>
    </row>
    <row r="442" ht="15" customHeight="1" s="59">
      <c r="J442" s="91" t="n"/>
      <c r="L442" s="91" t="n"/>
      <c r="N442" s="91" t="n"/>
      <c r="O442" s="91" t="n"/>
      <c r="S442" s="97">
        <f>COUNTIF(COMPOSANTS!B:B,A442)</f>
        <v/>
      </c>
      <c r="T442" s="97">
        <f>COUNTIFS(COMPOSANTS!B:B,A442,COMPOSANTS!G:G,"Défectueux")</f>
        <v/>
      </c>
    </row>
    <row r="443" ht="15" customHeight="1" s="59">
      <c r="J443" s="91" t="n"/>
      <c r="L443" s="91" t="n"/>
      <c r="N443" s="91" t="n"/>
      <c r="O443" s="91" t="n"/>
      <c r="S443" s="97">
        <f>COUNTIF(COMPOSANTS!B:B,A443)</f>
        <v/>
      </c>
      <c r="T443" s="97">
        <f>COUNTIFS(COMPOSANTS!B:B,A443,COMPOSANTS!G:G,"Défectueux")</f>
        <v/>
      </c>
    </row>
    <row r="444" ht="15" customHeight="1" s="59">
      <c r="J444" s="91" t="n"/>
      <c r="L444" s="91" t="n"/>
      <c r="N444" s="91" t="n"/>
      <c r="O444" s="91" t="n"/>
      <c r="S444" s="97">
        <f>COUNTIF(COMPOSANTS!B:B,A444)</f>
        <v/>
      </c>
      <c r="T444" s="97">
        <f>COUNTIFS(COMPOSANTS!B:B,A444,COMPOSANTS!G:G,"Défectueux")</f>
        <v/>
      </c>
    </row>
    <row r="445" ht="15" customHeight="1" s="59">
      <c r="J445" s="91" t="n"/>
      <c r="L445" s="91" t="n"/>
      <c r="N445" s="91" t="n"/>
      <c r="O445" s="91" t="n"/>
      <c r="S445" s="97">
        <f>COUNTIF(COMPOSANTS!B:B,A445)</f>
        <v/>
      </c>
      <c r="T445" s="97">
        <f>COUNTIFS(COMPOSANTS!B:B,A445,COMPOSANTS!G:G,"Défectueux")</f>
        <v/>
      </c>
    </row>
    <row r="446" ht="15" customHeight="1" s="59">
      <c r="J446" s="91" t="n"/>
      <c r="L446" s="91" t="n"/>
      <c r="N446" s="91" t="n"/>
      <c r="O446" s="91" t="n"/>
      <c r="S446" s="97">
        <f>COUNTIF(COMPOSANTS!B:B,A446)</f>
        <v/>
      </c>
      <c r="T446" s="97">
        <f>COUNTIFS(COMPOSANTS!B:B,A446,COMPOSANTS!G:G,"Défectueux")</f>
        <v/>
      </c>
    </row>
    <row r="447" ht="15" customHeight="1" s="59">
      <c r="J447" s="91" t="n"/>
      <c r="L447" s="91" t="n"/>
      <c r="N447" s="91" t="n"/>
      <c r="O447" s="91" t="n"/>
      <c r="S447" s="97">
        <f>COUNTIF(COMPOSANTS!B:B,A447)</f>
        <v/>
      </c>
      <c r="T447" s="97">
        <f>COUNTIFS(COMPOSANTS!B:B,A447,COMPOSANTS!G:G,"Défectueux")</f>
        <v/>
      </c>
    </row>
    <row r="448" ht="15" customHeight="1" s="59">
      <c r="J448" s="91" t="n"/>
      <c r="L448" s="91" t="n"/>
      <c r="N448" s="91" t="n"/>
      <c r="O448" s="91" t="n"/>
      <c r="S448" s="97">
        <f>COUNTIF(COMPOSANTS!B:B,A448)</f>
        <v/>
      </c>
      <c r="T448" s="97">
        <f>COUNTIFS(COMPOSANTS!B:B,A448,COMPOSANTS!G:G,"Défectueux")</f>
        <v/>
      </c>
    </row>
    <row r="449" ht="15" customHeight="1" s="59">
      <c r="J449" s="91" t="n"/>
      <c r="L449" s="91" t="n"/>
      <c r="N449" s="91" t="n"/>
      <c r="O449" s="91" t="n"/>
      <c r="S449" s="97">
        <f>COUNTIF(COMPOSANTS!B:B,A449)</f>
        <v/>
      </c>
      <c r="T449" s="97">
        <f>COUNTIFS(COMPOSANTS!B:B,A449,COMPOSANTS!G:G,"Défectueux")</f>
        <v/>
      </c>
    </row>
    <row r="450" ht="15" customHeight="1" s="59">
      <c r="J450" s="91" t="n"/>
      <c r="L450" s="91" t="n"/>
      <c r="N450" s="91" t="n"/>
      <c r="O450" s="91" t="n"/>
      <c r="S450" s="97">
        <f>COUNTIF(COMPOSANTS!B:B,A450)</f>
        <v/>
      </c>
      <c r="T450" s="97">
        <f>COUNTIFS(COMPOSANTS!B:B,A450,COMPOSANTS!G:G,"Défectueux")</f>
        <v/>
      </c>
    </row>
    <row r="451" ht="15" customHeight="1" s="59">
      <c r="J451" s="91" t="n"/>
      <c r="L451" s="91" t="n"/>
      <c r="N451" s="91" t="n"/>
      <c r="O451" s="91" t="n"/>
      <c r="S451" s="97">
        <f>COUNTIF(COMPOSANTS!B:B,A451)</f>
        <v/>
      </c>
      <c r="T451" s="97">
        <f>COUNTIFS(COMPOSANTS!B:B,A451,COMPOSANTS!G:G,"Défectueux")</f>
        <v/>
      </c>
    </row>
    <row r="452" ht="15" customHeight="1" s="59">
      <c r="J452" s="91" t="n"/>
      <c r="L452" s="91" t="n"/>
      <c r="N452" s="91" t="n"/>
      <c r="O452" s="91" t="n"/>
      <c r="S452" s="97">
        <f>COUNTIF(COMPOSANTS!B:B,A452)</f>
        <v/>
      </c>
      <c r="T452" s="97">
        <f>COUNTIFS(COMPOSANTS!B:B,A452,COMPOSANTS!G:G,"Défectueux")</f>
        <v/>
      </c>
    </row>
    <row r="453" ht="15" customHeight="1" s="59">
      <c r="J453" s="91" t="n"/>
      <c r="L453" s="91" t="n"/>
      <c r="N453" s="91" t="n"/>
      <c r="O453" s="91" t="n"/>
      <c r="S453" s="97">
        <f>COUNTIF(COMPOSANTS!B:B,A453)</f>
        <v/>
      </c>
      <c r="T453" s="97">
        <f>COUNTIFS(COMPOSANTS!B:B,A453,COMPOSANTS!G:G,"Défectueux")</f>
        <v/>
      </c>
    </row>
    <row r="454" ht="15" customHeight="1" s="59">
      <c r="J454" s="91" t="n"/>
      <c r="L454" s="91" t="n"/>
      <c r="N454" s="91" t="n"/>
      <c r="O454" s="91" t="n"/>
      <c r="S454" s="97">
        <f>COUNTIF(COMPOSANTS!B:B,A454)</f>
        <v/>
      </c>
      <c r="T454" s="97">
        <f>COUNTIFS(COMPOSANTS!B:B,A454,COMPOSANTS!G:G,"Défectueux")</f>
        <v/>
      </c>
    </row>
    <row r="455" ht="15" customHeight="1" s="59">
      <c r="J455" s="91" t="n"/>
      <c r="L455" s="91" t="n"/>
      <c r="N455" s="91" t="n"/>
      <c r="O455" s="91" t="n"/>
      <c r="S455" s="97">
        <f>COUNTIF(COMPOSANTS!B:B,A455)</f>
        <v/>
      </c>
      <c r="T455" s="97">
        <f>COUNTIFS(COMPOSANTS!B:B,A455,COMPOSANTS!G:G,"Défectueux")</f>
        <v/>
      </c>
    </row>
    <row r="456" ht="15" customHeight="1" s="59">
      <c r="J456" s="91" t="n"/>
      <c r="L456" s="91" t="n"/>
      <c r="N456" s="91" t="n"/>
      <c r="O456" s="91" t="n"/>
      <c r="S456" s="97">
        <f>COUNTIF(COMPOSANTS!B:B,A456)</f>
        <v/>
      </c>
      <c r="T456" s="97">
        <f>COUNTIFS(COMPOSANTS!B:B,A456,COMPOSANTS!G:G,"Défectueux")</f>
        <v/>
      </c>
    </row>
    <row r="457" ht="15" customHeight="1" s="59">
      <c r="J457" s="91" t="n"/>
      <c r="L457" s="91" t="n"/>
      <c r="N457" s="91" t="n"/>
      <c r="O457" s="91" t="n"/>
      <c r="S457" s="97">
        <f>COUNTIF(COMPOSANTS!B:B,A457)</f>
        <v/>
      </c>
      <c r="T457" s="97">
        <f>COUNTIFS(COMPOSANTS!B:B,A457,COMPOSANTS!G:G,"Défectueux")</f>
        <v/>
      </c>
    </row>
    <row r="458" ht="15" customHeight="1" s="59">
      <c r="J458" s="91" t="n"/>
      <c r="L458" s="91" t="n"/>
      <c r="N458" s="91" t="n"/>
      <c r="O458" s="91" t="n"/>
      <c r="S458" s="97">
        <f>COUNTIF(COMPOSANTS!B:B,A458)</f>
        <v/>
      </c>
      <c r="T458" s="97">
        <f>COUNTIFS(COMPOSANTS!B:B,A458,COMPOSANTS!G:G,"Défectueux")</f>
        <v/>
      </c>
    </row>
    <row r="459" ht="15" customHeight="1" s="59">
      <c r="J459" s="91" t="n"/>
      <c r="L459" s="91" t="n"/>
      <c r="N459" s="91" t="n"/>
      <c r="O459" s="91" t="n"/>
      <c r="S459" s="97">
        <f>COUNTIF(COMPOSANTS!B:B,A459)</f>
        <v/>
      </c>
      <c r="T459" s="97">
        <f>COUNTIFS(COMPOSANTS!B:B,A459,COMPOSANTS!G:G,"Défectueux")</f>
        <v/>
      </c>
    </row>
    <row r="460" ht="15" customHeight="1" s="59">
      <c r="J460" s="91" t="n"/>
      <c r="L460" s="91" t="n"/>
      <c r="N460" s="91" t="n"/>
      <c r="O460" s="91" t="n"/>
      <c r="S460" s="97">
        <f>COUNTIF(COMPOSANTS!B:B,A460)</f>
        <v/>
      </c>
      <c r="T460" s="97">
        <f>COUNTIFS(COMPOSANTS!B:B,A460,COMPOSANTS!G:G,"Défectueux")</f>
        <v/>
      </c>
    </row>
    <row r="461" ht="15" customHeight="1" s="59">
      <c r="J461" s="91" t="n"/>
      <c r="L461" s="91" t="n"/>
      <c r="N461" s="91" t="n"/>
      <c r="O461" s="91" t="n"/>
      <c r="S461" s="97">
        <f>COUNTIF(COMPOSANTS!B:B,A461)</f>
        <v/>
      </c>
      <c r="T461" s="97">
        <f>COUNTIFS(COMPOSANTS!B:B,A461,COMPOSANTS!G:G,"Défectueux")</f>
        <v/>
      </c>
    </row>
    <row r="462" ht="15" customHeight="1" s="59">
      <c r="J462" s="91" t="n"/>
      <c r="L462" s="91" t="n"/>
      <c r="N462" s="91" t="n"/>
      <c r="O462" s="91" t="n"/>
      <c r="S462" s="97">
        <f>COUNTIF(COMPOSANTS!B:B,A462)</f>
        <v/>
      </c>
      <c r="T462" s="97">
        <f>COUNTIFS(COMPOSANTS!B:B,A462,COMPOSANTS!G:G,"Défectueux")</f>
        <v/>
      </c>
    </row>
    <row r="463" ht="15" customHeight="1" s="59">
      <c r="J463" s="91" t="n"/>
      <c r="L463" s="91" t="n"/>
      <c r="N463" s="91" t="n"/>
      <c r="O463" s="91" t="n"/>
      <c r="S463" s="97">
        <f>COUNTIF(COMPOSANTS!B:B,A463)</f>
        <v/>
      </c>
      <c r="T463" s="97">
        <f>COUNTIFS(COMPOSANTS!B:B,A463,COMPOSANTS!G:G,"Défectueux")</f>
        <v/>
      </c>
    </row>
    <row r="464" ht="15" customHeight="1" s="59">
      <c r="J464" s="91" t="n"/>
      <c r="L464" s="91" t="n"/>
      <c r="N464" s="91" t="n"/>
      <c r="O464" s="91" t="n"/>
      <c r="S464" s="97">
        <f>COUNTIF(COMPOSANTS!B:B,A464)</f>
        <v/>
      </c>
      <c r="T464" s="97">
        <f>COUNTIFS(COMPOSANTS!B:B,A464,COMPOSANTS!G:G,"Défectueux")</f>
        <v/>
      </c>
    </row>
    <row r="465" ht="15" customHeight="1" s="59">
      <c r="J465" s="91" t="n"/>
      <c r="L465" s="91" t="n"/>
      <c r="N465" s="91" t="n"/>
      <c r="O465" s="91" t="n"/>
      <c r="S465" s="97">
        <f>COUNTIF(COMPOSANTS!B:B,A465)</f>
        <v/>
      </c>
      <c r="T465" s="97">
        <f>COUNTIFS(COMPOSANTS!B:B,A465,COMPOSANTS!G:G,"Défectueux")</f>
        <v/>
      </c>
    </row>
    <row r="466" ht="15" customHeight="1" s="59">
      <c r="J466" s="91" t="n"/>
      <c r="L466" s="91" t="n"/>
      <c r="N466" s="91" t="n"/>
      <c r="O466" s="91" t="n"/>
      <c r="S466" s="97">
        <f>COUNTIF(COMPOSANTS!B:B,A466)</f>
        <v/>
      </c>
      <c r="T466" s="97">
        <f>COUNTIFS(COMPOSANTS!B:B,A466,COMPOSANTS!G:G,"Défectueux")</f>
        <v/>
      </c>
    </row>
    <row r="467" ht="15" customHeight="1" s="59">
      <c r="J467" s="91" t="n"/>
      <c r="L467" s="91" t="n"/>
      <c r="N467" s="91" t="n"/>
      <c r="O467" s="91" t="n"/>
      <c r="S467" s="97">
        <f>COUNTIF(COMPOSANTS!B:B,A467)</f>
        <v/>
      </c>
      <c r="T467" s="97">
        <f>COUNTIFS(COMPOSANTS!B:B,A467,COMPOSANTS!G:G,"Défectueux")</f>
        <v/>
      </c>
    </row>
    <row r="468" ht="15" customHeight="1" s="59">
      <c r="J468" s="91" t="n"/>
      <c r="L468" s="91" t="n"/>
      <c r="N468" s="91" t="n"/>
      <c r="O468" s="91" t="n"/>
      <c r="S468" s="97">
        <f>COUNTIF(COMPOSANTS!B:B,A468)</f>
        <v/>
      </c>
      <c r="T468" s="97">
        <f>COUNTIFS(COMPOSANTS!B:B,A468,COMPOSANTS!G:G,"Défectueux")</f>
        <v/>
      </c>
    </row>
    <row r="469" ht="15" customHeight="1" s="59">
      <c r="J469" s="91" t="n"/>
      <c r="L469" s="91" t="n"/>
      <c r="N469" s="91" t="n"/>
      <c r="O469" s="91" t="n"/>
      <c r="S469" s="97">
        <f>COUNTIF(COMPOSANTS!B:B,A469)</f>
        <v/>
      </c>
      <c r="T469" s="97">
        <f>COUNTIFS(COMPOSANTS!B:B,A469,COMPOSANTS!G:G,"Défectueux")</f>
        <v/>
      </c>
    </row>
    <row r="470" ht="15" customHeight="1" s="59">
      <c r="J470" s="91" t="n"/>
      <c r="L470" s="91" t="n"/>
      <c r="N470" s="91" t="n"/>
      <c r="O470" s="91" t="n"/>
      <c r="S470" s="97">
        <f>COUNTIF(COMPOSANTS!B:B,A470)</f>
        <v/>
      </c>
      <c r="T470" s="97">
        <f>COUNTIFS(COMPOSANTS!B:B,A470,COMPOSANTS!G:G,"Défectueux")</f>
        <v/>
      </c>
    </row>
    <row r="471" ht="15" customHeight="1" s="59">
      <c r="J471" s="91" t="n"/>
      <c r="L471" s="91" t="n"/>
      <c r="N471" s="91" t="n"/>
      <c r="O471" s="91" t="n"/>
      <c r="S471" s="97">
        <f>COUNTIF(COMPOSANTS!B:B,A471)</f>
        <v/>
      </c>
      <c r="T471" s="97">
        <f>COUNTIFS(COMPOSANTS!B:B,A471,COMPOSANTS!G:G,"Défectueux")</f>
        <v/>
      </c>
    </row>
    <row r="472" ht="15" customHeight="1" s="59">
      <c r="J472" s="91" t="n"/>
      <c r="L472" s="91" t="n"/>
      <c r="N472" s="91" t="n"/>
      <c r="O472" s="91" t="n"/>
      <c r="S472" s="97">
        <f>COUNTIF(COMPOSANTS!B:B,A472)</f>
        <v/>
      </c>
      <c r="T472" s="97">
        <f>COUNTIFS(COMPOSANTS!B:B,A472,COMPOSANTS!G:G,"Défectueux")</f>
        <v/>
      </c>
    </row>
    <row r="473" ht="15" customHeight="1" s="59">
      <c r="J473" s="91" t="n"/>
      <c r="L473" s="91" t="n"/>
      <c r="N473" s="91" t="n"/>
      <c r="O473" s="91" t="n"/>
      <c r="S473" s="97">
        <f>COUNTIF(COMPOSANTS!B:B,A473)</f>
        <v/>
      </c>
      <c r="T473" s="97">
        <f>COUNTIFS(COMPOSANTS!B:B,A473,COMPOSANTS!G:G,"Défectueux")</f>
        <v/>
      </c>
    </row>
    <row r="474" ht="15" customHeight="1" s="59">
      <c r="J474" s="91" t="n"/>
      <c r="L474" s="91" t="n"/>
      <c r="N474" s="91" t="n"/>
      <c r="O474" s="91" t="n"/>
      <c r="S474" s="97">
        <f>COUNTIF(COMPOSANTS!B:B,A474)</f>
        <v/>
      </c>
      <c r="T474" s="97">
        <f>COUNTIFS(COMPOSANTS!B:B,A474,COMPOSANTS!G:G,"Défectueux")</f>
        <v/>
      </c>
    </row>
    <row r="475" ht="15" customHeight="1" s="59">
      <c r="J475" s="91" t="n"/>
      <c r="L475" s="91" t="n"/>
      <c r="N475" s="91" t="n"/>
      <c r="O475" s="91" t="n"/>
      <c r="S475" s="97">
        <f>COUNTIF(COMPOSANTS!B:B,A475)</f>
        <v/>
      </c>
      <c r="T475" s="97">
        <f>COUNTIFS(COMPOSANTS!B:B,A475,COMPOSANTS!G:G,"Défectueux")</f>
        <v/>
      </c>
    </row>
    <row r="476" ht="15" customHeight="1" s="59">
      <c r="J476" s="91" t="n"/>
      <c r="L476" s="91" t="n"/>
      <c r="N476" s="91" t="n"/>
      <c r="O476" s="91" t="n"/>
      <c r="S476" s="97">
        <f>COUNTIF(COMPOSANTS!B:B,A476)</f>
        <v/>
      </c>
      <c r="T476" s="97">
        <f>COUNTIFS(COMPOSANTS!B:B,A476,COMPOSANTS!G:G,"Défectueux")</f>
        <v/>
      </c>
    </row>
    <row r="477" ht="15" customHeight="1" s="59">
      <c r="J477" s="91" t="n"/>
      <c r="L477" s="91" t="n"/>
      <c r="N477" s="91" t="n"/>
      <c r="O477" s="91" t="n"/>
      <c r="S477" s="97">
        <f>COUNTIF(COMPOSANTS!B:B,A477)</f>
        <v/>
      </c>
      <c r="T477" s="97">
        <f>COUNTIFS(COMPOSANTS!B:B,A477,COMPOSANTS!G:G,"Défectueux")</f>
        <v/>
      </c>
    </row>
    <row r="478" ht="15" customHeight="1" s="59">
      <c r="J478" s="91" t="n"/>
      <c r="L478" s="91" t="n"/>
      <c r="N478" s="91" t="n"/>
      <c r="O478" s="91" t="n"/>
      <c r="S478" s="97">
        <f>COUNTIF(COMPOSANTS!B:B,A478)</f>
        <v/>
      </c>
      <c r="T478" s="97">
        <f>COUNTIFS(COMPOSANTS!B:B,A478,COMPOSANTS!G:G,"Défectueux")</f>
        <v/>
      </c>
    </row>
    <row r="479" ht="15" customHeight="1" s="59">
      <c r="J479" s="91" t="n"/>
      <c r="L479" s="91" t="n"/>
      <c r="N479" s="91" t="n"/>
      <c r="O479" s="91" t="n"/>
      <c r="S479" s="97">
        <f>COUNTIF(COMPOSANTS!B:B,A479)</f>
        <v/>
      </c>
      <c r="T479" s="97">
        <f>COUNTIFS(COMPOSANTS!B:B,A479,COMPOSANTS!G:G,"Défectueux")</f>
        <v/>
      </c>
    </row>
    <row r="480" ht="15" customHeight="1" s="59">
      <c r="J480" s="91" t="n"/>
      <c r="L480" s="91" t="n"/>
      <c r="N480" s="91" t="n"/>
      <c r="O480" s="91" t="n"/>
      <c r="S480" s="97">
        <f>COUNTIF(COMPOSANTS!B:B,A480)</f>
        <v/>
      </c>
      <c r="T480" s="97">
        <f>COUNTIFS(COMPOSANTS!B:B,A480,COMPOSANTS!G:G,"Défectueux")</f>
        <v/>
      </c>
    </row>
    <row r="481" ht="15" customHeight="1" s="59">
      <c r="J481" s="91" t="n"/>
      <c r="L481" s="91" t="n"/>
      <c r="N481" s="91" t="n"/>
      <c r="O481" s="91" t="n"/>
      <c r="S481" s="97">
        <f>COUNTIF(COMPOSANTS!B:B,A481)</f>
        <v/>
      </c>
      <c r="T481" s="97">
        <f>COUNTIFS(COMPOSANTS!B:B,A481,COMPOSANTS!G:G,"Défectueux")</f>
        <v/>
      </c>
    </row>
    <row r="482" ht="15" customHeight="1" s="59">
      <c r="J482" s="91" t="n"/>
      <c r="L482" s="91" t="n"/>
      <c r="N482" s="91" t="n"/>
      <c r="O482" s="91" t="n"/>
      <c r="S482" s="97">
        <f>COUNTIF(COMPOSANTS!B:B,A482)</f>
        <v/>
      </c>
      <c r="T482" s="97">
        <f>COUNTIFS(COMPOSANTS!B:B,A482,COMPOSANTS!G:G,"Défectueux")</f>
        <v/>
      </c>
    </row>
    <row r="483" ht="15" customHeight="1" s="59">
      <c r="J483" s="91" t="n"/>
      <c r="L483" s="91" t="n"/>
      <c r="N483" s="91" t="n"/>
      <c r="O483" s="91" t="n"/>
      <c r="S483" s="97">
        <f>COUNTIF(COMPOSANTS!B:B,A483)</f>
        <v/>
      </c>
      <c r="T483" s="97">
        <f>COUNTIFS(COMPOSANTS!B:B,A483,COMPOSANTS!G:G,"Défectueux")</f>
        <v/>
      </c>
    </row>
    <row r="484" ht="15" customHeight="1" s="59">
      <c r="J484" s="91" t="n"/>
      <c r="L484" s="91" t="n"/>
      <c r="N484" s="91" t="n"/>
      <c r="O484" s="91" t="n"/>
      <c r="S484" s="97">
        <f>COUNTIF(COMPOSANTS!B:B,A484)</f>
        <v/>
      </c>
      <c r="T484" s="97">
        <f>COUNTIFS(COMPOSANTS!B:B,A484,COMPOSANTS!G:G,"Défectueux")</f>
        <v/>
      </c>
    </row>
    <row r="485" ht="15" customHeight="1" s="59">
      <c r="J485" s="91" t="n"/>
      <c r="L485" s="91" t="n"/>
      <c r="N485" s="91" t="n"/>
      <c r="O485" s="91" t="n"/>
      <c r="S485" s="97">
        <f>COUNTIF(COMPOSANTS!B:B,A485)</f>
        <v/>
      </c>
      <c r="T485" s="97">
        <f>COUNTIFS(COMPOSANTS!B:B,A485,COMPOSANTS!G:G,"Défectueux")</f>
        <v/>
      </c>
    </row>
    <row r="486" ht="15" customHeight="1" s="59">
      <c r="J486" s="91" t="n"/>
      <c r="L486" s="91" t="n"/>
      <c r="N486" s="91" t="n"/>
      <c r="O486" s="91" t="n"/>
      <c r="S486" s="97">
        <f>COUNTIF(COMPOSANTS!B:B,A486)</f>
        <v/>
      </c>
      <c r="T486" s="97">
        <f>COUNTIFS(COMPOSANTS!B:B,A486,COMPOSANTS!G:G,"Défectueux")</f>
        <v/>
      </c>
    </row>
    <row r="487" ht="15" customHeight="1" s="59">
      <c r="J487" s="91" t="n"/>
      <c r="L487" s="91" t="n"/>
      <c r="N487" s="91" t="n"/>
      <c r="O487" s="91" t="n"/>
      <c r="S487" s="97">
        <f>COUNTIF(COMPOSANTS!B:B,A487)</f>
        <v/>
      </c>
      <c r="T487" s="97">
        <f>COUNTIFS(COMPOSANTS!B:B,A487,COMPOSANTS!G:G,"Défectueux")</f>
        <v/>
      </c>
    </row>
    <row r="488" ht="15" customHeight="1" s="59">
      <c r="J488" s="91" t="n"/>
      <c r="L488" s="91" t="n"/>
      <c r="N488" s="91" t="n"/>
      <c r="O488" s="91" t="n"/>
      <c r="S488" s="97">
        <f>COUNTIF(COMPOSANTS!B:B,A488)</f>
        <v/>
      </c>
      <c r="T488" s="97">
        <f>COUNTIFS(COMPOSANTS!B:B,A488,COMPOSANTS!G:G,"Défectueux")</f>
        <v/>
      </c>
    </row>
    <row r="489" ht="15" customHeight="1" s="59">
      <c r="J489" s="91" t="n"/>
      <c r="L489" s="91" t="n"/>
      <c r="N489" s="91" t="n"/>
      <c r="O489" s="91" t="n"/>
      <c r="S489" s="97">
        <f>COUNTIF(COMPOSANTS!B:B,A489)</f>
        <v/>
      </c>
      <c r="T489" s="97">
        <f>COUNTIFS(COMPOSANTS!B:B,A489,COMPOSANTS!G:G,"Défectueux")</f>
        <v/>
      </c>
    </row>
    <row r="490" ht="15" customHeight="1" s="59">
      <c r="J490" s="91" t="n"/>
      <c r="L490" s="91" t="n"/>
      <c r="N490" s="91" t="n"/>
      <c r="O490" s="91" t="n"/>
      <c r="S490" s="97">
        <f>COUNTIF(COMPOSANTS!B:B,A490)</f>
        <v/>
      </c>
      <c r="T490" s="97">
        <f>COUNTIFS(COMPOSANTS!B:B,A490,COMPOSANTS!G:G,"Défectueux")</f>
        <v/>
      </c>
    </row>
    <row r="491" ht="15" customHeight="1" s="59">
      <c r="J491" s="91" t="n"/>
      <c r="L491" s="91" t="n"/>
      <c r="N491" s="91" t="n"/>
      <c r="O491" s="91" t="n"/>
      <c r="S491" s="97">
        <f>COUNTIF(COMPOSANTS!B:B,A491)</f>
        <v/>
      </c>
      <c r="T491" s="97">
        <f>COUNTIFS(COMPOSANTS!B:B,A491,COMPOSANTS!G:G,"Défectueux")</f>
        <v/>
      </c>
    </row>
    <row r="492" ht="15" customHeight="1" s="59">
      <c r="J492" s="91" t="n"/>
      <c r="L492" s="91" t="n"/>
      <c r="N492" s="91" t="n"/>
      <c r="O492" s="91" t="n"/>
      <c r="S492" s="97">
        <f>COUNTIF(COMPOSANTS!B:B,A492)</f>
        <v/>
      </c>
      <c r="T492" s="97">
        <f>COUNTIFS(COMPOSANTS!B:B,A492,COMPOSANTS!G:G,"Défectueux")</f>
        <v/>
      </c>
    </row>
    <row r="493" ht="15" customHeight="1" s="59">
      <c r="J493" s="91" t="n"/>
      <c r="L493" s="91" t="n"/>
      <c r="N493" s="91" t="n"/>
      <c r="O493" s="91" t="n"/>
      <c r="S493" s="97">
        <f>COUNTIF(COMPOSANTS!B:B,A493)</f>
        <v/>
      </c>
      <c r="T493" s="97">
        <f>COUNTIFS(COMPOSANTS!B:B,A493,COMPOSANTS!G:G,"Défectueux")</f>
        <v/>
      </c>
    </row>
    <row r="494" ht="15" customHeight="1" s="59">
      <c r="J494" s="91" t="n"/>
      <c r="L494" s="91" t="n"/>
      <c r="N494" s="91" t="n"/>
      <c r="O494" s="91" t="n"/>
      <c r="S494" s="97">
        <f>COUNTIF(COMPOSANTS!B:B,A494)</f>
        <v/>
      </c>
      <c r="T494" s="97">
        <f>COUNTIFS(COMPOSANTS!B:B,A494,COMPOSANTS!G:G,"Défectueux")</f>
        <v/>
      </c>
    </row>
    <row r="495" ht="15" customHeight="1" s="59">
      <c r="J495" s="91" t="n"/>
      <c r="L495" s="91" t="n"/>
      <c r="N495" s="91" t="n"/>
      <c r="O495" s="91" t="n"/>
      <c r="S495" s="97">
        <f>COUNTIF(COMPOSANTS!B:B,A495)</f>
        <v/>
      </c>
      <c r="T495" s="97">
        <f>COUNTIFS(COMPOSANTS!B:B,A495,COMPOSANTS!G:G,"Défectueux")</f>
        <v/>
      </c>
    </row>
    <row r="496" ht="15" customHeight="1" s="59">
      <c r="J496" s="91" t="n"/>
      <c r="L496" s="91" t="n"/>
      <c r="N496" s="91" t="n"/>
      <c r="O496" s="91" t="n"/>
      <c r="S496" s="97">
        <f>COUNTIF(COMPOSANTS!B:B,A496)</f>
        <v/>
      </c>
      <c r="T496" s="97">
        <f>COUNTIFS(COMPOSANTS!B:B,A496,COMPOSANTS!G:G,"Défectueux")</f>
        <v/>
      </c>
    </row>
    <row r="497" ht="15" customHeight="1" s="59">
      <c r="J497" s="91" t="n"/>
      <c r="L497" s="91" t="n"/>
      <c r="N497" s="91" t="n"/>
      <c r="O497" s="91" t="n"/>
      <c r="S497" s="97">
        <f>COUNTIF(COMPOSANTS!B:B,A497)</f>
        <v/>
      </c>
      <c r="T497" s="97">
        <f>COUNTIFS(COMPOSANTS!B:B,A497,COMPOSANTS!G:G,"Défectueux")</f>
        <v/>
      </c>
    </row>
    <row r="498" ht="15" customHeight="1" s="59">
      <c r="J498" s="91" t="n"/>
      <c r="L498" s="91" t="n"/>
      <c r="N498" s="91" t="n"/>
      <c r="O498" s="91" t="n"/>
      <c r="S498" s="97">
        <f>COUNTIF(COMPOSANTS!B:B,A498)</f>
        <v/>
      </c>
      <c r="T498" s="97">
        <f>COUNTIFS(COMPOSANTS!B:B,A498,COMPOSANTS!G:G,"Défectueux")</f>
        <v/>
      </c>
    </row>
    <row r="499" ht="15" customHeight="1" s="59">
      <c r="J499" s="91" t="n"/>
      <c r="L499" s="91" t="n"/>
      <c r="N499" s="91" t="n"/>
      <c r="O499" s="91" t="n"/>
      <c r="S499" s="97">
        <f>COUNTIF(COMPOSANTS!B:B,A499)</f>
        <v/>
      </c>
      <c r="T499" s="97">
        <f>COUNTIFS(COMPOSANTS!B:B,A499,COMPOSANTS!G:G,"Défectueux")</f>
        <v/>
      </c>
    </row>
    <row r="500" ht="15" customHeight="1" s="59">
      <c r="J500" s="91" t="n"/>
      <c r="L500" s="91" t="n"/>
      <c r="N500" s="91" t="n"/>
      <c r="O500" s="91" t="n"/>
      <c r="S500" s="97">
        <f>COUNTIF(COMPOSANTS!B:B,A500)</f>
        <v/>
      </c>
      <c r="T500" s="97">
        <f>COUNTIFS(COMPOSANTS!B:B,A500,COMPOSANTS!G:G,"Défectueux")</f>
        <v/>
      </c>
    </row>
  </sheetData>
  <autoFilter ref="A1:U1"/>
  <conditionalFormatting sqref="A2:U500">
    <cfRule type="expression" rank="0" priority="2" equalAverage="0" aboveAverage="0" dxfId="2" text="" percent="0" bottom="0">
      <formula>AND($D2="Haute",$M2="En panne")</formula>
    </cfRule>
    <cfRule type="expression" rank="0" priority="3" equalAverage="0" aboveAverage="0" dxfId="3" text="" percent="0" bottom="0">
      <formula>AND($O2&lt;TODAY(),$M2="En service")</formula>
    </cfRule>
    <cfRule type="expression" rank="0" priority="4" equalAverage="0" aboveAverage="0" dxfId="6" text="" percent="0" bottom="0">
      <formula>$R2&lt;&gt;""</formula>
    </cfRule>
  </conditionalFormatting>
  <dataValidations count="8">
    <dataValidation sqref="C2:C500" showDropDown="0" showInputMessage="0" showErrorMessage="0" allowBlank="1" type="list" errorStyle="stop" operator="between">
      <formula1>LISTES!$G$2:$G$9</formula1>
      <formula2>0</formula2>
    </dataValidation>
    <dataValidation sqref="D2:D500" showDropDown="0" showInputMessage="0" showErrorMessage="0" allowBlank="1" type="list" errorStyle="stop" operator="between">
      <formula1>LISTES!$A$2:$A$4</formula1>
      <formula2>0</formula2>
    </dataValidation>
    <dataValidation sqref="E2:E500" showDropDown="0" showInputMessage="0" showErrorMessage="0" allowBlank="1" type="list" errorStyle="stop" operator="between">
      <formula1>LISTES!$H$2:$H$10</formula1>
      <formula2>0</formula2>
    </dataValidation>
    <dataValidation sqref="M2:M500" showDropDown="0" showInputMessage="0" showErrorMessage="0" allowBlank="1" type="list" errorStyle="stop" operator="between">
      <formula1>LISTES!$B$2:$B$6</formula1>
      <formula2>0</formula2>
    </dataValidation>
    <dataValidation sqref="P2:P500" showDropDown="0" showInputMessage="0" showErrorMessage="0" allowBlank="1" type="list" errorStyle="stop" operator="between">
      <formula1>LISTES!$I$2:$I$6</formula1>
      <formula2>0</formula2>
    </dataValidation>
    <dataValidation sqref="Q2:Q500" showDropDown="0" showInputMessage="0" showErrorMessage="0" allowBlank="1" type="list" errorStyle="stop" operator="between">
      <formula1>TECHNICIENS!$A$2:$A$200</formula1>
      <formula2>0</formula2>
    </dataValidation>
    <dataValidation sqref="K2:K500" showDropDown="0" showInputMessage="0" showErrorMessage="0" allowBlank="1" type="list" errorStyle="stop" operator="between">
      <formula1>FOURNISSEURS!$A$2:$A$200</formula1>
      <formula2>0</formula2>
    </dataValidation>
    <dataValidation sqref="R2:R500" showDropDown="0" showInputMessage="0" showErrorMessage="0" allowBlank="1" type="list" errorStyle="stop" operator="between">
      <formula1>PACKAGES!$A$2:$A$200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5618C"/>
    <outlinePr summaryBelow="1" summaryRight="1"/>
    <pageSetUpPr fitToPage="0"/>
  </sheetPr>
  <dimension ref="A1:K5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58" min="1" max="1"/>
    <col width="18" customWidth="1" style="58" min="2" max="2"/>
    <col width="28" customWidth="1" style="58" min="3" max="3"/>
    <col width="22" customWidth="1" style="58" min="4" max="4"/>
    <col width="16" customWidth="1" style="58" min="5" max="5"/>
    <col width="18" customWidth="1" style="58" min="6" max="6"/>
    <col width="16" customWidth="1" style="58" min="7" max="9"/>
    <col width="14" customWidth="1" style="58" min="10" max="10"/>
    <col width="35" customWidth="1" style="58" min="11" max="11"/>
  </cols>
  <sheetData>
    <row r="1" ht="27.75" customHeight="1" s="59">
      <c r="A1" s="93" t="inlineStr">
        <is>
          <t>Code_MP</t>
        </is>
      </c>
      <c r="B1" s="93" t="inlineStr">
        <is>
          <t>Code_Equipement</t>
        </is>
      </c>
      <c r="C1" s="93" t="inlineStr">
        <is>
          <t>Designation</t>
        </is>
      </c>
      <c r="D1" s="93" t="inlineStr">
        <is>
          <t>Type_Maintenance</t>
        </is>
      </c>
      <c r="E1" s="93" t="inlineStr">
        <is>
          <t>Date_Prevue</t>
        </is>
      </c>
      <c r="F1" s="93" t="inlineStr">
        <is>
          <t>Technicien_Assigne</t>
        </is>
      </c>
      <c r="G1" s="93" t="inlineStr">
        <is>
          <t>Statut</t>
        </is>
      </c>
      <c r="H1" s="93" t="inlineStr">
        <is>
          <t>Date_Realisation</t>
        </is>
      </c>
      <c r="I1" s="93" t="inlineStr">
        <is>
          <t>Temps_Passe_Heures</t>
        </is>
      </c>
      <c r="J1" s="83" t="inlineStr">
        <is>
          <t>Retard_Jours</t>
        </is>
      </c>
      <c r="K1" s="93" t="inlineStr">
        <is>
          <t>Observation</t>
        </is>
      </c>
    </row>
    <row r="2" ht="19.5" customHeight="1" s="59">
      <c r="A2" s="84" t="inlineStr">
        <is>
          <t>MP0001</t>
        </is>
      </c>
      <c r="B2" s="84" t="inlineStr">
        <is>
          <t>EQ0001</t>
        </is>
      </c>
      <c r="C2" s="85">
        <f>IF(B2="","",IFERROR(VLOOKUP(B2,EQUIPEMENTS!A:B,2,0),""))</f>
        <v/>
      </c>
      <c r="D2" s="84" t="inlineStr">
        <is>
          <t>Semestrielle</t>
        </is>
      </c>
      <c r="E2" s="86" t="inlineStr">
        <is>
          <t>2025-01-10</t>
        </is>
      </c>
      <c r="F2" s="84" t="inlineStr">
        <is>
          <t>TECH01</t>
        </is>
      </c>
      <c r="G2" s="84" t="inlineStr">
        <is>
          <t>Réalisée</t>
        </is>
      </c>
      <c r="H2" s="86" t="inlineStr">
        <is>
          <t>2025-01-10</t>
        </is>
      </c>
      <c r="I2" s="84" t="inlineStr">
        <is>
          <t>3</t>
        </is>
      </c>
      <c r="J2" s="94">
        <f>IF(AND(G2="Planifiée",E2&lt;TODAY(),H2=""),TODAY()-E2,"")</f>
        <v/>
      </c>
      <c r="K2" s="84" t="inlineStr">
        <is>
          <t>Maintenance OK - aucune anomalie</t>
        </is>
      </c>
    </row>
    <row r="3" ht="19.5" customHeight="1" s="59">
      <c r="A3" s="87" t="inlineStr">
        <is>
          <t>MP0002</t>
        </is>
      </c>
      <c r="B3" s="87" t="inlineStr">
        <is>
          <t>EQ0001</t>
        </is>
      </c>
      <c r="C3" s="88">
        <f>IF(B3="","",IFERROR(VLOOKUP(B3,EQUIPEMENTS!A:B,2,0),""))</f>
        <v/>
      </c>
      <c r="D3" s="87" t="inlineStr">
        <is>
          <t>Semestrielle</t>
        </is>
      </c>
      <c r="E3" s="89" t="inlineStr">
        <is>
          <t>2025-07-10</t>
        </is>
      </c>
      <c r="F3" s="87" t="inlineStr">
        <is>
          <t>TECH01</t>
        </is>
      </c>
      <c r="G3" s="87" t="inlineStr">
        <is>
          <t>Planifiée</t>
        </is>
      </c>
      <c r="H3" s="89" t="n"/>
      <c r="I3" s="87" t="n"/>
      <c r="J3" s="95">
        <f>IF(AND(G3="Planifiée",E3&lt;TODAY(),H3=""),TODAY()-E3,"")</f>
        <v/>
      </c>
      <c r="K3" s="87" t="n"/>
    </row>
    <row r="4" ht="19.5" customHeight="1" s="59">
      <c r="A4" s="84" t="inlineStr">
        <is>
          <t>MP0003</t>
        </is>
      </c>
      <c r="B4" s="84" t="inlineStr">
        <is>
          <t>EQ0002</t>
        </is>
      </c>
      <c r="C4" s="85">
        <f>IF(B4="","",IFERROR(VLOOKUP(B4,EQUIPEMENTS!A:B,2,0),""))</f>
        <v/>
      </c>
      <c r="D4" s="84" t="inlineStr">
        <is>
          <t>Annuelle</t>
        </is>
      </c>
      <c r="E4" s="86" t="inlineStr">
        <is>
          <t>2024-12-01</t>
        </is>
      </c>
      <c r="F4" s="84" t="inlineStr">
        <is>
          <t>TECH02</t>
        </is>
      </c>
      <c r="G4" s="84" t="inlineStr">
        <is>
          <t>Réalisée</t>
        </is>
      </c>
      <c r="H4" s="86" t="inlineStr">
        <is>
          <t>2024-12-01</t>
        </is>
      </c>
      <c r="I4" s="84" t="inlineStr">
        <is>
          <t>4</t>
        </is>
      </c>
      <c r="J4" s="94">
        <f>IF(AND(G4="Planifiée",E4&lt;TODAY(),H4=""),TODAY()-E4,"")</f>
        <v/>
      </c>
      <c r="K4" s="84" t="inlineStr">
        <is>
          <t>Filtre changé</t>
        </is>
      </c>
    </row>
    <row r="5" ht="19.5" customHeight="1" s="59">
      <c r="A5" s="87" t="inlineStr">
        <is>
          <t>MP0004</t>
        </is>
      </c>
      <c r="B5" s="87" t="inlineStr">
        <is>
          <t>EQ0002</t>
        </is>
      </c>
      <c r="C5" s="88">
        <f>IF(B5="","",IFERROR(VLOOKUP(B5,EQUIPEMENTS!A:B,2,0),""))</f>
        <v/>
      </c>
      <c r="D5" s="87" t="inlineStr">
        <is>
          <t>Semestrielle</t>
        </is>
      </c>
      <c r="E5" s="89" t="inlineStr">
        <is>
          <t>2025-06-01</t>
        </is>
      </c>
      <c r="F5" s="87" t="inlineStr">
        <is>
          <t>TECH02</t>
        </is>
      </c>
      <c r="G5" s="87" t="inlineStr">
        <is>
          <t>Planifiée</t>
        </is>
      </c>
      <c r="H5" s="89" t="n"/>
      <c r="I5" s="87" t="n"/>
      <c r="J5" s="95">
        <f>IF(AND(G5="Planifiée",E5&lt;TODAY(),H5=""),TODAY()-E5,"")</f>
        <v/>
      </c>
      <c r="K5" s="87" t="inlineStr">
        <is>
          <t>En retard - équipement en panne</t>
        </is>
      </c>
    </row>
    <row r="6" ht="15" customHeight="1" s="59">
      <c r="A6" s="58" t="n"/>
      <c r="B6" s="58" t="n"/>
      <c r="C6" s="98">
        <f>IF(B6="","",IFERROR(VLOOKUP(B6,EQUIPEMENTS!A:B,2,0),""))</f>
        <v/>
      </c>
      <c r="D6" s="58" t="n"/>
      <c r="E6" s="96" t="n"/>
      <c r="G6" s="58" t="n"/>
      <c r="H6" s="91" t="n"/>
      <c r="J6" s="97">
        <f>IF(AND(G6="Planifiée",E6&lt;TODAY(),H6=""),TODAY()-E6,"")</f>
        <v/>
      </c>
    </row>
    <row r="7" ht="15" customHeight="1" s="59">
      <c r="C7" s="98">
        <f>IF(B7="","",IFERROR(VLOOKUP(B7,EQUIPEMENTS!A:B,2,0),""))</f>
        <v/>
      </c>
      <c r="E7" s="91" t="n"/>
      <c r="H7" s="91" t="n"/>
      <c r="J7" s="97">
        <f>IF(AND(G7="Planifiée",E7&lt;TODAY(),H7=""),TODAY()-E7,"")</f>
        <v/>
      </c>
    </row>
    <row r="8" ht="15" customHeight="1" s="59">
      <c r="C8" s="98">
        <f>IF(B8="","",IFERROR(VLOOKUP(B8,EQUIPEMENTS!A:B,2,0),""))</f>
        <v/>
      </c>
      <c r="E8" s="91" t="n"/>
      <c r="H8" s="91" t="n"/>
      <c r="J8" s="97">
        <f>IF(AND(G8="Planifiée",E8&lt;TODAY(),H8=""),TODAY()-E8,"")</f>
        <v/>
      </c>
    </row>
    <row r="9" ht="15" customHeight="1" s="59">
      <c r="C9" s="98">
        <f>IF(B9="","",IFERROR(VLOOKUP(B9,EQUIPEMENTS!A:B,2,0),""))</f>
        <v/>
      </c>
      <c r="E9" s="91" t="n"/>
      <c r="H9" s="91" t="n"/>
      <c r="J9" s="97">
        <f>IF(AND(G9="Planifiée",E9&lt;TODAY(),H9=""),TODAY()-E9,"")</f>
        <v/>
      </c>
    </row>
    <row r="10" ht="15" customHeight="1" s="59">
      <c r="C10" s="98">
        <f>IF(B10="","",IFERROR(VLOOKUP(B10,EQUIPEMENTS!A:B,2,0),""))</f>
        <v/>
      </c>
      <c r="E10" s="91" t="n"/>
      <c r="H10" s="91" t="n"/>
      <c r="J10" s="97">
        <f>IF(AND(G10="Planifiée",E10&lt;TODAY(),H10=""),TODAY()-E10,"")</f>
        <v/>
      </c>
    </row>
    <row r="11" ht="15" customHeight="1" s="59">
      <c r="C11" s="98">
        <f>IF(B11="","",IFERROR(VLOOKUP(B11,EQUIPEMENTS!A:B,2,0),""))</f>
        <v/>
      </c>
      <c r="E11" s="91" t="n"/>
      <c r="H11" s="91" t="n"/>
      <c r="J11" s="97">
        <f>IF(AND(G11="Planifiée",E11&lt;TODAY(),H11=""),TODAY()-E11,"")</f>
        <v/>
      </c>
    </row>
    <row r="12" ht="15" customHeight="1" s="59">
      <c r="C12" s="98">
        <f>IF(B12="","",IFERROR(VLOOKUP(B12,EQUIPEMENTS!A:B,2,0),""))</f>
        <v/>
      </c>
      <c r="E12" s="91" t="n"/>
      <c r="H12" s="91" t="n"/>
      <c r="J12" s="97">
        <f>IF(AND(G12="Planifiée",E12&lt;TODAY(),H12=""),TODAY()-E12,"")</f>
        <v/>
      </c>
    </row>
    <row r="13" ht="15" customHeight="1" s="59">
      <c r="C13" s="98">
        <f>IF(B13="","",IFERROR(VLOOKUP(B13,EQUIPEMENTS!A:B,2,0),""))</f>
        <v/>
      </c>
      <c r="E13" s="91" t="n"/>
      <c r="H13" s="91" t="n"/>
      <c r="J13" s="97">
        <f>IF(AND(G13="Planifiée",E13&lt;TODAY(),H13=""),TODAY()-E13,"")</f>
        <v/>
      </c>
    </row>
    <row r="14" ht="15" customHeight="1" s="59">
      <c r="C14" s="98">
        <f>IF(B14="","",IFERROR(VLOOKUP(B14,EQUIPEMENTS!A:B,2,0),""))</f>
        <v/>
      </c>
      <c r="E14" s="91" t="n"/>
      <c r="H14" s="91" t="n"/>
      <c r="J14" s="97">
        <f>IF(AND(G14="Planifiée",E14&lt;TODAY(),H14=""),TODAY()-E14,"")</f>
        <v/>
      </c>
    </row>
    <row r="15" ht="15" customHeight="1" s="59">
      <c r="C15" s="98">
        <f>IF(B15="","",IFERROR(VLOOKUP(B15,EQUIPEMENTS!A:B,2,0),""))</f>
        <v/>
      </c>
      <c r="E15" s="91" t="n"/>
      <c r="H15" s="91" t="n"/>
      <c r="J15" s="97">
        <f>IF(AND(G15="Planifiée",E15&lt;TODAY(),H15=""),TODAY()-E15,"")</f>
        <v/>
      </c>
    </row>
    <row r="16" ht="15" customHeight="1" s="59">
      <c r="C16" s="98">
        <f>IF(B16="","",IFERROR(VLOOKUP(B16,EQUIPEMENTS!A:B,2,0),""))</f>
        <v/>
      </c>
      <c r="E16" s="91" t="n"/>
      <c r="H16" s="91" t="n"/>
      <c r="J16" s="97">
        <f>IF(AND(G16="Planifiée",E16&lt;TODAY(),H16=""),TODAY()-E16,"")</f>
        <v/>
      </c>
    </row>
    <row r="17" ht="15" customHeight="1" s="59">
      <c r="C17" s="98">
        <f>IF(B17="","",IFERROR(VLOOKUP(B17,EQUIPEMENTS!A:B,2,0),""))</f>
        <v/>
      </c>
      <c r="E17" s="91" t="n"/>
      <c r="H17" s="91" t="n"/>
      <c r="J17" s="97">
        <f>IF(AND(G17="Planifiée",E17&lt;TODAY(),H17=""),TODAY()-E17,"")</f>
        <v/>
      </c>
    </row>
    <row r="18" ht="15" customHeight="1" s="59">
      <c r="C18" s="98">
        <f>IF(B18="","",IFERROR(VLOOKUP(B18,EQUIPEMENTS!A:B,2,0),""))</f>
        <v/>
      </c>
      <c r="E18" s="91" t="n"/>
      <c r="H18" s="91" t="n"/>
      <c r="J18" s="97">
        <f>IF(AND(G18="Planifiée",E18&lt;TODAY(),H18=""),TODAY()-E18,"")</f>
        <v/>
      </c>
    </row>
    <row r="19" ht="15" customHeight="1" s="59">
      <c r="C19" s="98">
        <f>IF(B19="","",IFERROR(VLOOKUP(B19,EQUIPEMENTS!A:B,2,0),""))</f>
        <v/>
      </c>
      <c r="E19" s="91" t="n"/>
      <c r="H19" s="91" t="n"/>
      <c r="J19" s="97">
        <f>IF(AND(G19="Planifiée",E19&lt;TODAY(),H19=""),TODAY()-E19,"")</f>
        <v/>
      </c>
    </row>
    <row r="20" ht="15" customHeight="1" s="59">
      <c r="C20" s="98">
        <f>IF(B20="","",IFERROR(VLOOKUP(B20,EQUIPEMENTS!A:B,2,0),""))</f>
        <v/>
      </c>
      <c r="E20" s="91" t="n"/>
      <c r="H20" s="91" t="n"/>
      <c r="J20" s="97">
        <f>IF(AND(G20="Planifiée",E20&lt;TODAY(),H20=""),TODAY()-E20,"")</f>
        <v/>
      </c>
    </row>
    <row r="21" ht="15" customHeight="1" s="59">
      <c r="C21" s="98">
        <f>IF(B21="","",IFERROR(VLOOKUP(B21,EQUIPEMENTS!A:B,2,0),""))</f>
        <v/>
      </c>
      <c r="E21" s="91" t="n"/>
      <c r="H21" s="91" t="n"/>
      <c r="J21" s="97">
        <f>IF(AND(G21="Planifiée",E21&lt;TODAY(),H21=""),TODAY()-E21,"")</f>
        <v/>
      </c>
    </row>
    <row r="22" ht="15" customHeight="1" s="59">
      <c r="C22" s="98">
        <f>IF(B22="","",IFERROR(VLOOKUP(B22,EQUIPEMENTS!A:B,2,0),""))</f>
        <v/>
      </c>
      <c r="E22" s="91" t="n"/>
      <c r="H22" s="91" t="n"/>
      <c r="J22" s="97">
        <f>IF(AND(G22="Planifiée",E22&lt;TODAY(),H22=""),TODAY()-E22,"")</f>
        <v/>
      </c>
    </row>
    <row r="23" ht="15" customHeight="1" s="59">
      <c r="C23" s="98">
        <f>IF(B23="","",IFERROR(VLOOKUP(B23,EQUIPEMENTS!A:B,2,0),""))</f>
        <v/>
      </c>
      <c r="E23" s="91" t="n"/>
      <c r="H23" s="91" t="n"/>
      <c r="J23" s="97">
        <f>IF(AND(G23="Planifiée",E23&lt;TODAY(),H23=""),TODAY()-E23,"")</f>
        <v/>
      </c>
    </row>
    <row r="24" ht="15" customHeight="1" s="59">
      <c r="C24" s="98">
        <f>IF(B24="","",IFERROR(VLOOKUP(B24,EQUIPEMENTS!A:B,2,0),""))</f>
        <v/>
      </c>
      <c r="E24" s="91" t="n"/>
      <c r="H24" s="91" t="n"/>
      <c r="J24" s="97">
        <f>IF(AND(G24="Planifiée",E24&lt;TODAY(),H24=""),TODAY()-E24,"")</f>
        <v/>
      </c>
    </row>
    <row r="25" ht="15" customHeight="1" s="59">
      <c r="C25" s="98">
        <f>IF(B25="","",IFERROR(VLOOKUP(B25,EQUIPEMENTS!A:B,2,0),""))</f>
        <v/>
      </c>
      <c r="E25" s="91" t="n"/>
      <c r="H25" s="91" t="n"/>
      <c r="J25" s="97">
        <f>IF(AND(G25="Planifiée",E25&lt;TODAY(),H25=""),TODAY()-E25,"")</f>
        <v/>
      </c>
    </row>
    <row r="26" ht="15" customHeight="1" s="59">
      <c r="C26" s="98">
        <f>IF(B26="","",IFERROR(VLOOKUP(B26,EQUIPEMENTS!A:B,2,0),""))</f>
        <v/>
      </c>
      <c r="E26" s="91" t="n"/>
      <c r="H26" s="91" t="n"/>
      <c r="J26" s="97">
        <f>IF(AND(G26="Planifiée",E26&lt;TODAY(),H26=""),TODAY()-E26,"")</f>
        <v/>
      </c>
    </row>
    <row r="27" ht="15" customHeight="1" s="59">
      <c r="C27" s="98">
        <f>IF(B27="","",IFERROR(VLOOKUP(B27,EQUIPEMENTS!A:B,2,0),""))</f>
        <v/>
      </c>
      <c r="E27" s="91" t="n"/>
      <c r="H27" s="91" t="n"/>
      <c r="J27" s="97">
        <f>IF(AND(G27="Planifiée",E27&lt;TODAY(),H27=""),TODAY()-E27,"")</f>
        <v/>
      </c>
    </row>
    <row r="28" ht="15" customHeight="1" s="59">
      <c r="C28" s="98">
        <f>IF(B28="","",IFERROR(VLOOKUP(B28,EQUIPEMENTS!A:B,2,0),""))</f>
        <v/>
      </c>
      <c r="E28" s="91" t="n"/>
      <c r="H28" s="91" t="n"/>
      <c r="J28" s="97">
        <f>IF(AND(G28="Planifiée",E28&lt;TODAY(),H28=""),TODAY()-E28,"")</f>
        <v/>
      </c>
    </row>
    <row r="29" ht="15" customHeight="1" s="59">
      <c r="C29" s="98">
        <f>IF(B29="","",IFERROR(VLOOKUP(B29,EQUIPEMENTS!A:B,2,0),""))</f>
        <v/>
      </c>
      <c r="E29" s="91" t="n"/>
      <c r="H29" s="91" t="n"/>
      <c r="J29" s="97">
        <f>IF(AND(G29="Planifiée",E29&lt;TODAY(),H29=""),TODAY()-E29,"")</f>
        <v/>
      </c>
    </row>
    <row r="30" ht="15" customHeight="1" s="59">
      <c r="C30" s="98">
        <f>IF(B30="","",IFERROR(VLOOKUP(B30,EQUIPEMENTS!A:B,2,0),""))</f>
        <v/>
      </c>
      <c r="E30" s="91" t="n"/>
      <c r="H30" s="91" t="n"/>
      <c r="J30" s="97">
        <f>IF(AND(G30="Planifiée",E30&lt;TODAY(),H30=""),TODAY()-E30,"")</f>
        <v/>
      </c>
    </row>
    <row r="31" ht="15" customHeight="1" s="59">
      <c r="C31" s="98">
        <f>IF(B31="","",IFERROR(VLOOKUP(B31,EQUIPEMENTS!A:B,2,0),""))</f>
        <v/>
      </c>
      <c r="E31" s="91" t="n"/>
      <c r="H31" s="91" t="n"/>
      <c r="J31" s="97">
        <f>IF(AND(G31="Planifiée",E31&lt;TODAY(),H31=""),TODAY()-E31,"")</f>
        <v/>
      </c>
    </row>
    <row r="32" ht="15" customHeight="1" s="59">
      <c r="C32" s="98">
        <f>IF(B32="","",IFERROR(VLOOKUP(B32,EQUIPEMENTS!A:B,2,0),""))</f>
        <v/>
      </c>
      <c r="E32" s="91" t="n"/>
      <c r="H32" s="91" t="n"/>
      <c r="J32" s="97">
        <f>IF(AND(G32="Planifiée",E32&lt;TODAY(),H32=""),TODAY()-E32,"")</f>
        <v/>
      </c>
    </row>
    <row r="33" ht="15" customHeight="1" s="59">
      <c r="C33" s="98">
        <f>IF(B33="","",IFERROR(VLOOKUP(B33,EQUIPEMENTS!A:B,2,0),""))</f>
        <v/>
      </c>
      <c r="E33" s="91" t="n"/>
      <c r="H33" s="91" t="n"/>
      <c r="J33" s="97">
        <f>IF(AND(G33="Planifiée",E33&lt;TODAY(),H33=""),TODAY()-E33,"")</f>
        <v/>
      </c>
    </row>
    <row r="34" ht="15" customHeight="1" s="59">
      <c r="C34" s="98">
        <f>IF(B34="","",IFERROR(VLOOKUP(B34,EQUIPEMENTS!A:B,2,0),""))</f>
        <v/>
      </c>
      <c r="E34" s="91" t="n"/>
      <c r="H34" s="91" t="n"/>
      <c r="J34" s="97">
        <f>IF(AND(G34="Planifiée",E34&lt;TODAY(),H34=""),TODAY()-E34,"")</f>
        <v/>
      </c>
    </row>
    <row r="35" ht="15" customHeight="1" s="59">
      <c r="C35" s="98">
        <f>IF(B35="","",IFERROR(VLOOKUP(B35,EQUIPEMENTS!A:B,2,0),""))</f>
        <v/>
      </c>
      <c r="E35" s="91" t="n"/>
      <c r="H35" s="91" t="n"/>
      <c r="J35" s="97">
        <f>IF(AND(G35="Planifiée",E35&lt;TODAY(),H35=""),TODAY()-E35,"")</f>
        <v/>
      </c>
    </row>
    <row r="36" ht="15" customHeight="1" s="59">
      <c r="C36" s="98">
        <f>IF(B36="","",IFERROR(VLOOKUP(B36,EQUIPEMENTS!A:B,2,0),""))</f>
        <v/>
      </c>
      <c r="E36" s="91" t="n"/>
      <c r="H36" s="91" t="n"/>
      <c r="J36" s="97">
        <f>IF(AND(G36="Planifiée",E36&lt;TODAY(),H36=""),TODAY()-E36,"")</f>
        <v/>
      </c>
    </row>
    <row r="37" ht="15" customHeight="1" s="59">
      <c r="C37" s="98">
        <f>IF(B37="","",IFERROR(VLOOKUP(B37,EQUIPEMENTS!A:B,2,0),""))</f>
        <v/>
      </c>
      <c r="E37" s="91" t="n"/>
      <c r="H37" s="91" t="n"/>
      <c r="J37" s="97">
        <f>IF(AND(G37="Planifiée",E37&lt;TODAY(),H37=""),TODAY()-E37,"")</f>
        <v/>
      </c>
    </row>
    <row r="38" ht="15" customHeight="1" s="59">
      <c r="C38" s="98">
        <f>IF(B38="","",IFERROR(VLOOKUP(B38,EQUIPEMENTS!A:B,2,0),""))</f>
        <v/>
      </c>
      <c r="E38" s="91" t="n"/>
      <c r="H38" s="91" t="n"/>
      <c r="J38" s="97">
        <f>IF(AND(G38="Planifiée",E38&lt;TODAY(),H38=""),TODAY()-E38,"")</f>
        <v/>
      </c>
    </row>
    <row r="39" ht="15" customHeight="1" s="59">
      <c r="C39" s="98">
        <f>IF(B39="","",IFERROR(VLOOKUP(B39,EQUIPEMENTS!A:B,2,0),""))</f>
        <v/>
      </c>
      <c r="E39" s="91" t="n"/>
      <c r="H39" s="91" t="n"/>
      <c r="J39" s="97">
        <f>IF(AND(G39="Planifiée",E39&lt;TODAY(),H39=""),TODAY()-E39,"")</f>
        <v/>
      </c>
    </row>
    <row r="40" ht="15" customHeight="1" s="59">
      <c r="C40" s="98">
        <f>IF(B40="","",IFERROR(VLOOKUP(B40,EQUIPEMENTS!A:B,2,0),""))</f>
        <v/>
      </c>
      <c r="E40" s="91" t="n"/>
      <c r="H40" s="91" t="n"/>
      <c r="J40" s="97">
        <f>IF(AND(G40="Planifiée",E40&lt;TODAY(),H40=""),TODAY()-E40,"")</f>
        <v/>
      </c>
    </row>
    <row r="41" ht="15" customHeight="1" s="59">
      <c r="C41" s="98">
        <f>IF(B41="","",IFERROR(VLOOKUP(B41,EQUIPEMENTS!A:B,2,0),""))</f>
        <v/>
      </c>
      <c r="E41" s="91" t="n"/>
      <c r="H41" s="91" t="n"/>
      <c r="J41" s="97">
        <f>IF(AND(G41="Planifiée",E41&lt;TODAY(),H41=""),TODAY()-E41,"")</f>
        <v/>
      </c>
    </row>
    <row r="42" ht="15" customHeight="1" s="59">
      <c r="C42" s="98">
        <f>IF(B42="","",IFERROR(VLOOKUP(B42,EQUIPEMENTS!A:B,2,0),""))</f>
        <v/>
      </c>
      <c r="E42" s="91" t="n"/>
      <c r="H42" s="91" t="n"/>
      <c r="J42" s="97">
        <f>IF(AND(G42="Planifiée",E42&lt;TODAY(),H42=""),TODAY()-E42,"")</f>
        <v/>
      </c>
    </row>
    <row r="43" ht="15" customHeight="1" s="59">
      <c r="C43" s="98">
        <f>IF(B43="","",IFERROR(VLOOKUP(B43,EQUIPEMENTS!A:B,2,0),""))</f>
        <v/>
      </c>
      <c r="E43" s="91" t="n"/>
      <c r="H43" s="91" t="n"/>
      <c r="J43" s="97">
        <f>IF(AND(G43="Planifiée",E43&lt;TODAY(),H43=""),TODAY()-E43,"")</f>
        <v/>
      </c>
    </row>
    <row r="44" ht="15" customHeight="1" s="59">
      <c r="C44" s="98">
        <f>IF(B44="","",IFERROR(VLOOKUP(B44,EQUIPEMENTS!A:B,2,0),""))</f>
        <v/>
      </c>
      <c r="E44" s="91" t="n"/>
      <c r="H44" s="91" t="n"/>
      <c r="J44" s="97">
        <f>IF(AND(G44="Planifiée",E44&lt;TODAY(),H44=""),TODAY()-E44,"")</f>
        <v/>
      </c>
    </row>
    <row r="45" ht="15" customHeight="1" s="59">
      <c r="C45" s="98">
        <f>IF(B45="","",IFERROR(VLOOKUP(B45,EQUIPEMENTS!A:B,2,0),""))</f>
        <v/>
      </c>
      <c r="E45" s="91" t="n"/>
      <c r="H45" s="91" t="n"/>
      <c r="J45" s="97">
        <f>IF(AND(G45="Planifiée",E45&lt;TODAY(),H45=""),TODAY()-E45,"")</f>
        <v/>
      </c>
    </row>
    <row r="46" ht="15" customHeight="1" s="59">
      <c r="C46" s="98">
        <f>IF(B46="","",IFERROR(VLOOKUP(B46,EQUIPEMENTS!A:B,2,0),""))</f>
        <v/>
      </c>
      <c r="E46" s="91" t="n"/>
      <c r="H46" s="91" t="n"/>
      <c r="J46" s="97">
        <f>IF(AND(G46="Planifiée",E46&lt;TODAY(),H46=""),TODAY()-E46,"")</f>
        <v/>
      </c>
    </row>
    <row r="47" ht="15" customHeight="1" s="59">
      <c r="C47" s="98">
        <f>IF(B47="","",IFERROR(VLOOKUP(B47,EQUIPEMENTS!A:B,2,0),""))</f>
        <v/>
      </c>
      <c r="E47" s="91" t="n"/>
      <c r="H47" s="91" t="n"/>
      <c r="J47" s="97">
        <f>IF(AND(G47="Planifiée",E47&lt;TODAY(),H47=""),TODAY()-E47,"")</f>
        <v/>
      </c>
    </row>
    <row r="48" ht="15" customHeight="1" s="59">
      <c r="C48" s="98">
        <f>IF(B48="","",IFERROR(VLOOKUP(B48,EQUIPEMENTS!A:B,2,0),""))</f>
        <v/>
      </c>
      <c r="E48" s="91" t="n"/>
      <c r="H48" s="91" t="n"/>
      <c r="J48" s="97">
        <f>IF(AND(G48="Planifiée",E48&lt;TODAY(),H48=""),TODAY()-E48,"")</f>
        <v/>
      </c>
    </row>
    <row r="49" ht="15" customHeight="1" s="59">
      <c r="C49" s="98">
        <f>IF(B49="","",IFERROR(VLOOKUP(B49,EQUIPEMENTS!A:B,2,0),""))</f>
        <v/>
      </c>
      <c r="E49" s="91" t="n"/>
      <c r="H49" s="91" t="n"/>
      <c r="J49" s="97">
        <f>IF(AND(G49="Planifiée",E49&lt;TODAY(),H49=""),TODAY()-E49,"")</f>
        <v/>
      </c>
    </row>
    <row r="50" ht="15" customHeight="1" s="59">
      <c r="C50" s="98">
        <f>IF(B50="","",IFERROR(VLOOKUP(B50,EQUIPEMENTS!A:B,2,0),""))</f>
        <v/>
      </c>
      <c r="E50" s="91" t="n"/>
      <c r="H50" s="91" t="n"/>
      <c r="J50" s="97">
        <f>IF(AND(G50="Planifiée",E50&lt;TODAY(),H50=""),TODAY()-E50,"")</f>
        <v/>
      </c>
    </row>
    <row r="51" ht="15" customHeight="1" s="59">
      <c r="C51" s="98">
        <f>IF(B51="","",IFERROR(VLOOKUP(B51,EQUIPEMENTS!A:B,2,0),""))</f>
        <v/>
      </c>
      <c r="E51" s="91" t="n"/>
      <c r="H51" s="91" t="n"/>
      <c r="J51" s="97">
        <f>IF(AND(G51="Planifiée",E51&lt;TODAY(),H51=""),TODAY()-E51,"")</f>
        <v/>
      </c>
    </row>
    <row r="52" ht="15" customHeight="1" s="59">
      <c r="C52" s="98">
        <f>IF(B52="","",IFERROR(VLOOKUP(B52,EQUIPEMENTS!A:B,2,0),""))</f>
        <v/>
      </c>
      <c r="E52" s="91" t="n"/>
      <c r="H52" s="91" t="n"/>
      <c r="J52" s="97">
        <f>IF(AND(G52="Planifiée",E52&lt;TODAY(),H52=""),TODAY()-E52,"")</f>
        <v/>
      </c>
    </row>
    <row r="53" ht="15" customHeight="1" s="59">
      <c r="C53" s="98">
        <f>IF(B53="","",IFERROR(VLOOKUP(B53,EQUIPEMENTS!A:B,2,0),""))</f>
        <v/>
      </c>
      <c r="E53" s="91" t="n"/>
      <c r="H53" s="91" t="n"/>
      <c r="J53" s="97">
        <f>IF(AND(G53="Planifiée",E53&lt;TODAY(),H53=""),TODAY()-E53,"")</f>
        <v/>
      </c>
    </row>
    <row r="54" ht="15" customHeight="1" s="59">
      <c r="C54" s="98">
        <f>IF(B54="","",IFERROR(VLOOKUP(B54,EQUIPEMENTS!A:B,2,0),""))</f>
        <v/>
      </c>
      <c r="E54" s="91" t="n"/>
      <c r="H54" s="91" t="n"/>
      <c r="J54" s="97">
        <f>IF(AND(G54="Planifiée",E54&lt;TODAY(),H54=""),TODAY()-E54,"")</f>
        <v/>
      </c>
    </row>
    <row r="55" ht="15" customHeight="1" s="59">
      <c r="C55" s="98">
        <f>IF(B55="","",IFERROR(VLOOKUP(B55,EQUIPEMENTS!A:B,2,0),""))</f>
        <v/>
      </c>
      <c r="E55" s="91" t="n"/>
      <c r="H55" s="91" t="n"/>
      <c r="J55" s="97">
        <f>IF(AND(G55="Planifiée",E55&lt;TODAY(),H55=""),TODAY()-E55,"")</f>
        <v/>
      </c>
    </row>
    <row r="56" ht="15" customHeight="1" s="59">
      <c r="C56" s="98">
        <f>IF(B56="","",IFERROR(VLOOKUP(B56,EQUIPEMENTS!A:B,2,0),""))</f>
        <v/>
      </c>
      <c r="E56" s="91" t="n"/>
      <c r="H56" s="91" t="n"/>
      <c r="J56" s="97">
        <f>IF(AND(G56="Planifiée",E56&lt;TODAY(),H56=""),TODAY()-E56,"")</f>
        <v/>
      </c>
    </row>
    <row r="57" ht="15" customHeight="1" s="59">
      <c r="C57" s="98">
        <f>IF(B57="","",IFERROR(VLOOKUP(B57,EQUIPEMENTS!A:B,2,0),""))</f>
        <v/>
      </c>
      <c r="E57" s="91" t="n"/>
      <c r="H57" s="91" t="n"/>
      <c r="J57" s="97">
        <f>IF(AND(G57="Planifiée",E57&lt;TODAY(),H57=""),TODAY()-E57,"")</f>
        <v/>
      </c>
    </row>
    <row r="58" ht="15" customHeight="1" s="59">
      <c r="C58" s="98">
        <f>IF(B58="","",IFERROR(VLOOKUP(B58,EQUIPEMENTS!A:B,2,0),""))</f>
        <v/>
      </c>
      <c r="E58" s="91" t="n"/>
      <c r="H58" s="91" t="n"/>
      <c r="J58" s="97">
        <f>IF(AND(G58="Planifiée",E58&lt;TODAY(),H58=""),TODAY()-E58,"")</f>
        <v/>
      </c>
    </row>
    <row r="59" ht="15" customHeight="1" s="59">
      <c r="C59" s="98">
        <f>IF(B59="","",IFERROR(VLOOKUP(B59,EQUIPEMENTS!A:B,2,0),""))</f>
        <v/>
      </c>
      <c r="E59" s="91" t="n"/>
      <c r="H59" s="91" t="n"/>
      <c r="J59" s="97">
        <f>IF(AND(G59="Planifiée",E59&lt;TODAY(),H59=""),TODAY()-E59,"")</f>
        <v/>
      </c>
    </row>
    <row r="60" ht="15" customHeight="1" s="59">
      <c r="C60" s="98">
        <f>IF(B60="","",IFERROR(VLOOKUP(B60,EQUIPEMENTS!A:B,2,0),""))</f>
        <v/>
      </c>
      <c r="E60" s="91" t="n"/>
      <c r="H60" s="91" t="n"/>
      <c r="J60" s="97">
        <f>IF(AND(G60="Planifiée",E60&lt;TODAY(),H60=""),TODAY()-E60,"")</f>
        <v/>
      </c>
    </row>
    <row r="61" ht="15" customHeight="1" s="59">
      <c r="C61" s="98">
        <f>IF(B61="","",IFERROR(VLOOKUP(B61,EQUIPEMENTS!A:B,2,0),""))</f>
        <v/>
      </c>
      <c r="E61" s="91" t="n"/>
      <c r="H61" s="91" t="n"/>
      <c r="J61" s="97">
        <f>IF(AND(G61="Planifiée",E61&lt;TODAY(),H61=""),TODAY()-E61,"")</f>
        <v/>
      </c>
    </row>
    <row r="62" ht="15" customHeight="1" s="59">
      <c r="C62" s="98">
        <f>IF(B62="","",IFERROR(VLOOKUP(B62,EQUIPEMENTS!A:B,2,0),""))</f>
        <v/>
      </c>
      <c r="E62" s="91" t="n"/>
      <c r="H62" s="91" t="n"/>
      <c r="J62" s="97">
        <f>IF(AND(G62="Planifiée",E62&lt;TODAY(),H62=""),TODAY()-E62,"")</f>
        <v/>
      </c>
    </row>
    <row r="63" ht="15" customHeight="1" s="59">
      <c r="C63" s="98">
        <f>IF(B63="","",IFERROR(VLOOKUP(B63,EQUIPEMENTS!A:B,2,0),""))</f>
        <v/>
      </c>
      <c r="E63" s="91" t="n"/>
      <c r="H63" s="91" t="n"/>
      <c r="J63" s="97">
        <f>IF(AND(G63="Planifiée",E63&lt;TODAY(),H63=""),TODAY()-E63,"")</f>
        <v/>
      </c>
    </row>
    <row r="64" ht="15" customHeight="1" s="59">
      <c r="C64" s="98">
        <f>IF(B64="","",IFERROR(VLOOKUP(B64,EQUIPEMENTS!A:B,2,0),""))</f>
        <v/>
      </c>
      <c r="E64" s="91" t="n"/>
      <c r="H64" s="91" t="n"/>
      <c r="J64" s="97">
        <f>IF(AND(G64="Planifiée",E64&lt;TODAY(),H64=""),TODAY()-E64,"")</f>
        <v/>
      </c>
    </row>
    <row r="65" ht="15" customHeight="1" s="59">
      <c r="C65" s="98">
        <f>IF(B65="","",IFERROR(VLOOKUP(B65,EQUIPEMENTS!A:B,2,0),""))</f>
        <v/>
      </c>
      <c r="E65" s="91" t="n"/>
      <c r="H65" s="91" t="n"/>
      <c r="J65" s="97">
        <f>IF(AND(G65="Planifiée",E65&lt;TODAY(),H65=""),TODAY()-E65,"")</f>
        <v/>
      </c>
    </row>
    <row r="66" ht="15" customHeight="1" s="59">
      <c r="C66" s="98">
        <f>IF(B66="","",IFERROR(VLOOKUP(B66,EQUIPEMENTS!A:B,2,0),""))</f>
        <v/>
      </c>
      <c r="E66" s="91" t="n"/>
      <c r="H66" s="91" t="n"/>
      <c r="J66" s="97">
        <f>IF(AND(G66="Planifiée",E66&lt;TODAY(),H66=""),TODAY()-E66,"")</f>
        <v/>
      </c>
    </row>
    <row r="67" ht="15" customHeight="1" s="59">
      <c r="C67" s="98">
        <f>IF(B67="","",IFERROR(VLOOKUP(B67,EQUIPEMENTS!A:B,2,0),""))</f>
        <v/>
      </c>
      <c r="E67" s="91" t="n"/>
      <c r="H67" s="91" t="n"/>
      <c r="J67" s="97">
        <f>IF(AND(G67="Planifiée",E67&lt;TODAY(),H67=""),TODAY()-E67,"")</f>
        <v/>
      </c>
    </row>
    <row r="68" ht="15" customHeight="1" s="59">
      <c r="C68" s="98">
        <f>IF(B68="","",IFERROR(VLOOKUP(B68,EQUIPEMENTS!A:B,2,0),""))</f>
        <v/>
      </c>
      <c r="E68" s="91" t="n"/>
      <c r="H68" s="91" t="n"/>
      <c r="J68" s="97">
        <f>IF(AND(G68="Planifiée",E68&lt;TODAY(),H68=""),TODAY()-E68,"")</f>
        <v/>
      </c>
    </row>
    <row r="69" ht="15" customHeight="1" s="59">
      <c r="C69" s="98">
        <f>IF(B69="","",IFERROR(VLOOKUP(B69,EQUIPEMENTS!A:B,2,0),""))</f>
        <v/>
      </c>
      <c r="E69" s="91" t="n"/>
      <c r="H69" s="91" t="n"/>
      <c r="J69" s="97">
        <f>IF(AND(G69="Planifiée",E69&lt;TODAY(),H69=""),TODAY()-E69,"")</f>
        <v/>
      </c>
    </row>
    <row r="70" ht="15" customHeight="1" s="59">
      <c r="C70" s="98">
        <f>IF(B70="","",IFERROR(VLOOKUP(B70,EQUIPEMENTS!A:B,2,0),""))</f>
        <v/>
      </c>
      <c r="E70" s="91" t="n"/>
      <c r="H70" s="91" t="n"/>
      <c r="J70" s="97">
        <f>IF(AND(G70="Planifiée",E70&lt;TODAY(),H70=""),TODAY()-E70,"")</f>
        <v/>
      </c>
    </row>
    <row r="71" ht="15" customHeight="1" s="59">
      <c r="C71" s="98">
        <f>IF(B71="","",IFERROR(VLOOKUP(B71,EQUIPEMENTS!A:B,2,0),""))</f>
        <v/>
      </c>
      <c r="E71" s="91" t="n"/>
      <c r="H71" s="91" t="n"/>
      <c r="J71" s="97">
        <f>IF(AND(G71="Planifiée",E71&lt;TODAY(),H71=""),TODAY()-E71,"")</f>
        <v/>
      </c>
    </row>
    <row r="72" ht="15" customHeight="1" s="59">
      <c r="C72" s="98">
        <f>IF(B72="","",IFERROR(VLOOKUP(B72,EQUIPEMENTS!A:B,2,0),""))</f>
        <v/>
      </c>
      <c r="E72" s="91" t="n"/>
      <c r="H72" s="91" t="n"/>
      <c r="J72" s="97">
        <f>IF(AND(G72="Planifiée",E72&lt;TODAY(),H72=""),TODAY()-E72,"")</f>
        <v/>
      </c>
    </row>
    <row r="73" ht="15" customHeight="1" s="59">
      <c r="C73" s="98">
        <f>IF(B73="","",IFERROR(VLOOKUP(B73,EQUIPEMENTS!A:B,2,0),""))</f>
        <v/>
      </c>
      <c r="E73" s="91" t="n"/>
      <c r="H73" s="91" t="n"/>
      <c r="J73" s="97">
        <f>IF(AND(G73="Planifiée",E73&lt;TODAY(),H73=""),TODAY()-E73,"")</f>
        <v/>
      </c>
    </row>
    <row r="74" ht="15" customHeight="1" s="59">
      <c r="C74" s="98">
        <f>IF(B74="","",IFERROR(VLOOKUP(B74,EQUIPEMENTS!A:B,2,0),""))</f>
        <v/>
      </c>
      <c r="E74" s="91" t="n"/>
      <c r="H74" s="91" t="n"/>
      <c r="J74" s="97">
        <f>IF(AND(G74="Planifiée",E74&lt;TODAY(),H74=""),TODAY()-E74,"")</f>
        <v/>
      </c>
    </row>
    <row r="75" ht="15" customHeight="1" s="59">
      <c r="C75" s="98">
        <f>IF(B75="","",IFERROR(VLOOKUP(B75,EQUIPEMENTS!A:B,2,0),""))</f>
        <v/>
      </c>
      <c r="E75" s="91" t="n"/>
      <c r="H75" s="91" t="n"/>
      <c r="J75" s="97">
        <f>IF(AND(G75="Planifiée",E75&lt;TODAY(),H75=""),TODAY()-E75,"")</f>
        <v/>
      </c>
    </row>
    <row r="76" ht="15" customHeight="1" s="59">
      <c r="C76" s="98">
        <f>IF(B76="","",IFERROR(VLOOKUP(B76,EQUIPEMENTS!A:B,2,0),""))</f>
        <v/>
      </c>
      <c r="E76" s="91" t="n"/>
      <c r="H76" s="91" t="n"/>
      <c r="J76" s="97">
        <f>IF(AND(G76="Planifiée",E76&lt;TODAY(),H76=""),TODAY()-E76,"")</f>
        <v/>
      </c>
    </row>
    <row r="77" ht="15" customHeight="1" s="59">
      <c r="C77" s="98">
        <f>IF(B77="","",IFERROR(VLOOKUP(B77,EQUIPEMENTS!A:B,2,0),""))</f>
        <v/>
      </c>
      <c r="E77" s="91" t="n"/>
      <c r="H77" s="91" t="n"/>
      <c r="J77" s="97">
        <f>IF(AND(G77="Planifiée",E77&lt;TODAY(),H77=""),TODAY()-E77,"")</f>
        <v/>
      </c>
    </row>
    <row r="78" ht="15" customHeight="1" s="59">
      <c r="C78" s="98">
        <f>IF(B78="","",IFERROR(VLOOKUP(B78,EQUIPEMENTS!A:B,2,0),""))</f>
        <v/>
      </c>
      <c r="E78" s="91" t="n"/>
      <c r="H78" s="91" t="n"/>
      <c r="J78" s="97">
        <f>IF(AND(G78="Planifiée",E78&lt;TODAY(),H78=""),TODAY()-E78,"")</f>
        <v/>
      </c>
    </row>
    <row r="79" ht="15" customHeight="1" s="59">
      <c r="C79" s="98">
        <f>IF(B79="","",IFERROR(VLOOKUP(B79,EQUIPEMENTS!A:B,2,0),""))</f>
        <v/>
      </c>
      <c r="E79" s="91" t="n"/>
      <c r="H79" s="91" t="n"/>
      <c r="J79" s="97">
        <f>IF(AND(G79="Planifiée",E79&lt;TODAY(),H79=""),TODAY()-E79,"")</f>
        <v/>
      </c>
    </row>
    <row r="80" ht="15" customHeight="1" s="59">
      <c r="C80" s="98">
        <f>IF(B80="","",IFERROR(VLOOKUP(B80,EQUIPEMENTS!A:B,2,0),""))</f>
        <v/>
      </c>
      <c r="E80" s="91" t="n"/>
      <c r="H80" s="91" t="n"/>
      <c r="J80" s="97">
        <f>IF(AND(G80="Planifiée",E80&lt;TODAY(),H80=""),TODAY()-E80,"")</f>
        <v/>
      </c>
    </row>
    <row r="81" ht="15" customHeight="1" s="59">
      <c r="C81" s="98">
        <f>IF(B81="","",IFERROR(VLOOKUP(B81,EQUIPEMENTS!A:B,2,0),""))</f>
        <v/>
      </c>
      <c r="E81" s="91" t="n"/>
      <c r="H81" s="91" t="n"/>
      <c r="J81" s="97">
        <f>IF(AND(G81="Planifiée",E81&lt;TODAY(),H81=""),TODAY()-E81,"")</f>
        <v/>
      </c>
    </row>
    <row r="82" ht="15" customHeight="1" s="59">
      <c r="C82" s="98">
        <f>IF(B82="","",IFERROR(VLOOKUP(B82,EQUIPEMENTS!A:B,2,0),""))</f>
        <v/>
      </c>
      <c r="E82" s="91" t="n"/>
      <c r="H82" s="91" t="n"/>
      <c r="J82" s="97">
        <f>IF(AND(G82="Planifiée",E82&lt;TODAY(),H82=""),TODAY()-E82,"")</f>
        <v/>
      </c>
    </row>
    <row r="83" ht="15" customHeight="1" s="59">
      <c r="C83" s="98">
        <f>IF(B83="","",IFERROR(VLOOKUP(B83,EQUIPEMENTS!A:B,2,0),""))</f>
        <v/>
      </c>
      <c r="E83" s="91" t="n"/>
      <c r="H83" s="91" t="n"/>
      <c r="J83" s="97">
        <f>IF(AND(G83="Planifiée",E83&lt;TODAY(),H83=""),TODAY()-E83,"")</f>
        <v/>
      </c>
    </row>
    <row r="84" ht="15" customHeight="1" s="59">
      <c r="C84" s="98">
        <f>IF(B84="","",IFERROR(VLOOKUP(B84,EQUIPEMENTS!A:B,2,0),""))</f>
        <v/>
      </c>
      <c r="E84" s="91" t="n"/>
      <c r="H84" s="91" t="n"/>
      <c r="J84" s="97">
        <f>IF(AND(G84="Planifiée",E84&lt;TODAY(),H84=""),TODAY()-E84,"")</f>
        <v/>
      </c>
    </row>
    <row r="85" ht="15" customHeight="1" s="59">
      <c r="C85" s="98">
        <f>IF(B85="","",IFERROR(VLOOKUP(B85,EQUIPEMENTS!A:B,2,0),""))</f>
        <v/>
      </c>
      <c r="E85" s="91" t="n"/>
      <c r="H85" s="91" t="n"/>
      <c r="J85" s="97">
        <f>IF(AND(G85="Planifiée",E85&lt;TODAY(),H85=""),TODAY()-E85,"")</f>
        <v/>
      </c>
    </row>
    <row r="86" ht="15" customHeight="1" s="59">
      <c r="C86" s="98">
        <f>IF(B86="","",IFERROR(VLOOKUP(B86,EQUIPEMENTS!A:B,2,0),""))</f>
        <v/>
      </c>
      <c r="E86" s="91" t="n"/>
      <c r="H86" s="91" t="n"/>
      <c r="J86" s="97">
        <f>IF(AND(G86="Planifiée",E86&lt;TODAY(),H86=""),TODAY()-E86,"")</f>
        <v/>
      </c>
    </row>
    <row r="87" ht="15" customHeight="1" s="59">
      <c r="C87" s="98">
        <f>IF(B87="","",IFERROR(VLOOKUP(B87,EQUIPEMENTS!A:B,2,0),""))</f>
        <v/>
      </c>
      <c r="E87" s="91" t="n"/>
      <c r="H87" s="91" t="n"/>
      <c r="J87" s="97">
        <f>IF(AND(G87="Planifiée",E87&lt;TODAY(),H87=""),TODAY()-E87,"")</f>
        <v/>
      </c>
    </row>
    <row r="88" ht="15" customHeight="1" s="59">
      <c r="C88" s="98">
        <f>IF(B88="","",IFERROR(VLOOKUP(B88,EQUIPEMENTS!A:B,2,0),""))</f>
        <v/>
      </c>
      <c r="E88" s="91" t="n"/>
      <c r="H88" s="91" t="n"/>
      <c r="J88" s="97">
        <f>IF(AND(G88="Planifiée",E88&lt;TODAY(),H88=""),TODAY()-E88,"")</f>
        <v/>
      </c>
    </row>
    <row r="89" ht="15" customHeight="1" s="59">
      <c r="C89" s="98">
        <f>IF(B89="","",IFERROR(VLOOKUP(B89,EQUIPEMENTS!A:B,2,0),""))</f>
        <v/>
      </c>
      <c r="E89" s="91" t="n"/>
      <c r="H89" s="91" t="n"/>
      <c r="J89" s="97">
        <f>IF(AND(G89="Planifiée",E89&lt;TODAY(),H89=""),TODAY()-E89,"")</f>
        <v/>
      </c>
    </row>
    <row r="90" ht="15" customHeight="1" s="59">
      <c r="C90" s="98">
        <f>IF(B90="","",IFERROR(VLOOKUP(B90,EQUIPEMENTS!A:B,2,0),""))</f>
        <v/>
      </c>
      <c r="E90" s="91" t="n"/>
      <c r="H90" s="91" t="n"/>
      <c r="J90" s="97">
        <f>IF(AND(G90="Planifiée",E90&lt;TODAY(),H90=""),TODAY()-E90,"")</f>
        <v/>
      </c>
    </row>
    <row r="91" ht="15" customHeight="1" s="59">
      <c r="C91" s="98">
        <f>IF(B91="","",IFERROR(VLOOKUP(B91,EQUIPEMENTS!A:B,2,0),""))</f>
        <v/>
      </c>
      <c r="E91" s="91" t="n"/>
      <c r="H91" s="91" t="n"/>
      <c r="J91" s="97">
        <f>IF(AND(G91="Planifiée",E91&lt;TODAY(),H91=""),TODAY()-E91,"")</f>
        <v/>
      </c>
    </row>
    <row r="92" ht="15" customHeight="1" s="59">
      <c r="C92" s="98">
        <f>IF(B92="","",IFERROR(VLOOKUP(B92,EQUIPEMENTS!A:B,2,0),""))</f>
        <v/>
      </c>
      <c r="E92" s="91" t="n"/>
      <c r="H92" s="91" t="n"/>
      <c r="J92" s="97">
        <f>IF(AND(G92="Planifiée",E92&lt;TODAY(),H92=""),TODAY()-E92,"")</f>
        <v/>
      </c>
    </row>
    <row r="93" ht="15" customHeight="1" s="59">
      <c r="C93" s="98">
        <f>IF(B93="","",IFERROR(VLOOKUP(B93,EQUIPEMENTS!A:B,2,0),""))</f>
        <v/>
      </c>
      <c r="E93" s="91" t="n"/>
      <c r="H93" s="91" t="n"/>
      <c r="J93" s="97">
        <f>IF(AND(G93="Planifiée",E93&lt;TODAY(),H93=""),TODAY()-E93,"")</f>
        <v/>
      </c>
    </row>
    <row r="94" ht="15" customHeight="1" s="59">
      <c r="C94" s="98">
        <f>IF(B94="","",IFERROR(VLOOKUP(B94,EQUIPEMENTS!A:B,2,0),""))</f>
        <v/>
      </c>
      <c r="E94" s="91" t="n"/>
      <c r="H94" s="91" t="n"/>
      <c r="J94" s="97">
        <f>IF(AND(G94="Planifiée",E94&lt;TODAY(),H94=""),TODAY()-E94,"")</f>
        <v/>
      </c>
    </row>
    <row r="95" ht="15" customHeight="1" s="59">
      <c r="C95" s="98">
        <f>IF(B95="","",IFERROR(VLOOKUP(B95,EQUIPEMENTS!A:B,2,0),""))</f>
        <v/>
      </c>
      <c r="E95" s="91" t="n"/>
      <c r="H95" s="91" t="n"/>
      <c r="J95" s="97">
        <f>IF(AND(G95="Planifiée",E95&lt;TODAY(),H95=""),TODAY()-E95,"")</f>
        <v/>
      </c>
    </row>
    <row r="96" ht="15" customHeight="1" s="59">
      <c r="C96" s="98">
        <f>IF(B96="","",IFERROR(VLOOKUP(B96,EQUIPEMENTS!A:B,2,0),""))</f>
        <v/>
      </c>
      <c r="E96" s="91" t="n"/>
      <c r="H96" s="91" t="n"/>
      <c r="J96" s="97">
        <f>IF(AND(G96="Planifiée",E96&lt;TODAY(),H96=""),TODAY()-E96,"")</f>
        <v/>
      </c>
    </row>
    <row r="97" ht="15" customHeight="1" s="59">
      <c r="C97" s="98">
        <f>IF(B97="","",IFERROR(VLOOKUP(B97,EQUIPEMENTS!A:B,2,0),""))</f>
        <v/>
      </c>
      <c r="E97" s="91" t="n"/>
      <c r="H97" s="91" t="n"/>
      <c r="J97" s="97">
        <f>IF(AND(G97="Planifiée",E97&lt;TODAY(),H97=""),TODAY()-E97,"")</f>
        <v/>
      </c>
    </row>
    <row r="98" ht="15" customHeight="1" s="59">
      <c r="C98" s="98">
        <f>IF(B98="","",IFERROR(VLOOKUP(B98,EQUIPEMENTS!A:B,2,0),""))</f>
        <v/>
      </c>
      <c r="E98" s="91" t="n"/>
      <c r="H98" s="91" t="n"/>
      <c r="J98" s="97">
        <f>IF(AND(G98="Planifiée",E98&lt;TODAY(),H98=""),TODAY()-E98,"")</f>
        <v/>
      </c>
    </row>
    <row r="99" ht="15" customHeight="1" s="59">
      <c r="C99" s="98">
        <f>IF(B99="","",IFERROR(VLOOKUP(B99,EQUIPEMENTS!A:B,2,0),""))</f>
        <v/>
      </c>
      <c r="E99" s="91" t="n"/>
      <c r="H99" s="91" t="n"/>
      <c r="J99" s="97">
        <f>IF(AND(G99="Planifiée",E99&lt;TODAY(),H99=""),TODAY()-E99,"")</f>
        <v/>
      </c>
    </row>
    <row r="100" ht="15" customHeight="1" s="59">
      <c r="C100" s="98">
        <f>IF(B100="","",IFERROR(VLOOKUP(B100,EQUIPEMENTS!A:B,2,0),""))</f>
        <v/>
      </c>
      <c r="E100" s="91" t="n"/>
      <c r="H100" s="91" t="n"/>
      <c r="J100" s="97">
        <f>IF(AND(G100="Planifiée",E100&lt;TODAY(),H100=""),TODAY()-E100,"")</f>
        <v/>
      </c>
    </row>
    <row r="101" ht="15" customHeight="1" s="59">
      <c r="C101" s="98">
        <f>IF(B101="","",IFERROR(VLOOKUP(B101,EQUIPEMENTS!A:B,2,0),""))</f>
        <v/>
      </c>
      <c r="E101" s="91" t="n"/>
      <c r="H101" s="91" t="n"/>
      <c r="J101" s="97">
        <f>IF(AND(G101="Planifiée",E101&lt;TODAY(),H101=""),TODAY()-E101,"")</f>
        <v/>
      </c>
    </row>
    <row r="102" ht="15" customHeight="1" s="59">
      <c r="C102" s="98">
        <f>IF(B102="","",IFERROR(VLOOKUP(B102,EQUIPEMENTS!A:B,2,0),""))</f>
        <v/>
      </c>
      <c r="E102" s="91" t="n"/>
      <c r="H102" s="91" t="n"/>
      <c r="J102" s="97">
        <f>IF(AND(G102="Planifiée",E102&lt;TODAY(),H102=""),TODAY()-E102,"")</f>
        <v/>
      </c>
    </row>
    <row r="103" ht="15" customHeight="1" s="59">
      <c r="C103" s="98">
        <f>IF(B103="","",IFERROR(VLOOKUP(B103,EQUIPEMENTS!A:B,2,0),""))</f>
        <v/>
      </c>
      <c r="E103" s="91" t="n"/>
      <c r="H103" s="91" t="n"/>
      <c r="J103" s="97">
        <f>IF(AND(G103="Planifiée",E103&lt;TODAY(),H103=""),TODAY()-E103,"")</f>
        <v/>
      </c>
    </row>
    <row r="104" ht="15" customHeight="1" s="59">
      <c r="C104" s="98">
        <f>IF(B104="","",IFERROR(VLOOKUP(B104,EQUIPEMENTS!A:B,2,0),""))</f>
        <v/>
      </c>
      <c r="E104" s="91" t="n"/>
      <c r="H104" s="91" t="n"/>
      <c r="J104" s="97">
        <f>IF(AND(G104="Planifiée",E104&lt;TODAY(),H104=""),TODAY()-E104,"")</f>
        <v/>
      </c>
    </row>
    <row r="105" ht="15" customHeight="1" s="59">
      <c r="C105" s="98">
        <f>IF(B105="","",IFERROR(VLOOKUP(B105,EQUIPEMENTS!A:B,2,0),""))</f>
        <v/>
      </c>
      <c r="E105" s="91" t="n"/>
      <c r="H105" s="91" t="n"/>
      <c r="J105" s="97">
        <f>IF(AND(G105="Planifiée",E105&lt;TODAY(),H105=""),TODAY()-E105,"")</f>
        <v/>
      </c>
    </row>
    <row r="106" ht="15" customHeight="1" s="59">
      <c r="C106" s="98">
        <f>IF(B106="","",IFERROR(VLOOKUP(B106,EQUIPEMENTS!A:B,2,0),""))</f>
        <v/>
      </c>
      <c r="E106" s="91" t="n"/>
      <c r="H106" s="91" t="n"/>
      <c r="J106" s="97">
        <f>IF(AND(G106="Planifiée",E106&lt;TODAY(),H106=""),TODAY()-E106,"")</f>
        <v/>
      </c>
    </row>
    <row r="107" ht="15" customHeight="1" s="59">
      <c r="C107" s="98">
        <f>IF(B107="","",IFERROR(VLOOKUP(B107,EQUIPEMENTS!A:B,2,0),""))</f>
        <v/>
      </c>
      <c r="E107" s="91" t="n"/>
      <c r="H107" s="91" t="n"/>
      <c r="J107" s="97">
        <f>IF(AND(G107="Planifiée",E107&lt;TODAY(),H107=""),TODAY()-E107,"")</f>
        <v/>
      </c>
    </row>
    <row r="108" ht="15" customHeight="1" s="59">
      <c r="C108" s="98">
        <f>IF(B108="","",IFERROR(VLOOKUP(B108,EQUIPEMENTS!A:B,2,0),""))</f>
        <v/>
      </c>
      <c r="E108" s="91" t="n"/>
      <c r="H108" s="91" t="n"/>
      <c r="J108" s="97">
        <f>IF(AND(G108="Planifiée",E108&lt;TODAY(),H108=""),TODAY()-E108,"")</f>
        <v/>
      </c>
    </row>
    <row r="109" ht="15" customHeight="1" s="59">
      <c r="C109" s="98">
        <f>IF(B109="","",IFERROR(VLOOKUP(B109,EQUIPEMENTS!A:B,2,0),""))</f>
        <v/>
      </c>
      <c r="E109" s="91" t="n"/>
      <c r="H109" s="91" t="n"/>
      <c r="J109" s="97">
        <f>IF(AND(G109="Planifiée",E109&lt;TODAY(),H109=""),TODAY()-E109,"")</f>
        <v/>
      </c>
    </row>
    <row r="110" ht="15" customHeight="1" s="59">
      <c r="C110" s="98">
        <f>IF(B110="","",IFERROR(VLOOKUP(B110,EQUIPEMENTS!A:B,2,0),""))</f>
        <v/>
      </c>
      <c r="E110" s="91" t="n"/>
      <c r="H110" s="91" t="n"/>
      <c r="J110" s="97">
        <f>IF(AND(G110="Planifiée",E110&lt;TODAY(),H110=""),TODAY()-E110,"")</f>
        <v/>
      </c>
    </row>
    <row r="111" ht="15" customHeight="1" s="59">
      <c r="C111" s="98">
        <f>IF(B111="","",IFERROR(VLOOKUP(B111,EQUIPEMENTS!A:B,2,0),""))</f>
        <v/>
      </c>
      <c r="E111" s="91" t="n"/>
      <c r="H111" s="91" t="n"/>
      <c r="J111" s="97">
        <f>IF(AND(G111="Planifiée",E111&lt;TODAY(),H111=""),TODAY()-E111,"")</f>
        <v/>
      </c>
    </row>
    <row r="112" ht="15" customHeight="1" s="59">
      <c r="C112" s="98">
        <f>IF(B112="","",IFERROR(VLOOKUP(B112,EQUIPEMENTS!A:B,2,0),""))</f>
        <v/>
      </c>
      <c r="E112" s="91" t="n"/>
      <c r="H112" s="91" t="n"/>
      <c r="J112" s="97">
        <f>IF(AND(G112="Planifiée",E112&lt;TODAY(),H112=""),TODAY()-E112,"")</f>
        <v/>
      </c>
    </row>
    <row r="113" ht="15" customHeight="1" s="59">
      <c r="C113" s="98">
        <f>IF(B113="","",IFERROR(VLOOKUP(B113,EQUIPEMENTS!A:B,2,0),""))</f>
        <v/>
      </c>
      <c r="E113" s="91" t="n"/>
      <c r="H113" s="91" t="n"/>
      <c r="J113" s="97">
        <f>IF(AND(G113="Planifiée",E113&lt;TODAY(),H113=""),TODAY()-E113,"")</f>
        <v/>
      </c>
    </row>
    <row r="114" ht="15" customHeight="1" s="59">
      <c r="C114" s="98">
        <f>IF(B114="","",IFERROR(VLOOKUP(B114,EQUIPEMENTS!A:B,2,0),""))</f>
        <v/>
      </c>
      <c r="E114" s="91" t="n"/>
      <c r="H114" s="91" t="n"/>
      <c r="J114" s="97">
        <f>IF(AND(G114="Planifiée",E114&lt;TODAY(),H114=""),TODAY()-E114,"")</f>
        <v/>
      </c>
    </row>
    <row r="115" ht="15" customHeight="1" s="59">
      <c r="C115" s="98">
        <f>IF(B115="","",IFERROR(VLOOKUP(B115,EQUIPEMENTS!A:B,2,0),""))</f>
        <v/>
      </c>
      <c r="E115" s="91" t="n"/>
      <c r="H115" s="91" t="n"/>
      <c r="J115" s="97">
        <f>IF(AND(G115="Planifiée",E115&lt;TODAY(),H115=""),TODAY()-E115,"")</f>
        <v/>
      </c>
    </row>
    <row r="116" ht="15" customHeight="1" s="59">
      <c r="C116" s="98">
        <f>IF(B116="","",IFERROR(VLOOKUP(B116,EQUIPEMENTS!A:B,2,0),""))</f>
        <v/>
      </c>
      <c r="E116" s="91" t="n"/>
      <c r="H116" s="91" t="n"/>
      <c r="J116" s="97">
        <f>IF(AND(G116="Planifiée",E116&lt;TODAY(),H116=""),TODAY()-E116,"")</f>
        <v/>
      </c>
    </row>
    <row r="117" ht="15" customHeight="1" s="59">
      <c r="C117" s="98">
        <f>IF(B117="","",IFERROR(VLOOKUP(B117,EQUIPEMENTS!A:B,2,0),""))</f>
        <v/>
      </c>
      <c r="E117" s="91" t="n"/>
      <c r="H117" s="91" t="n"/>
      <c r="J117" s="97">
        <f>IF(AND(G117="Planifiée",E117&lt;TODAY(),H117=""),TODAY()-E117,"")</f>
        <v/>
      </c>
    </row>
    <row r="118" ht="15" customHeight="1" s="59">
      <c r="C118" s="98">
        <f>IF(B118="","",IFERROR(VLOOKUP(B118,EQUIPEMENTS!A:B,2,0),""))</f>
        <v/>
      </c>
      <c r="E118" s="91" t="n"/>
      <c r="H118" s="91" t="n"/>
      <c r="J118" s="97">
        <f>IF(AND(G118="Planifiée",E118&lt;TODAY(),H118=""),TODAY()-E118,"")</f>
        <v/>
      </c>
    </row>
    <row r="119" ht="15" customHeight="1" s="59">
      <c r="C119" s="98">
        <f>IF(B119="","",IFERROR(VLOOKUP(B119,EQUIPEMENTS!A:B,2,0),""))</f>
        <v/>
      </c>
      <c r="E119" s="91" t="n"/>
      <c r="H119" s="91" t="n"/>
      <c r="J119" s="97">
        <f>IF(AND(G119="Planifiée",E119&lt;TODAY(),H119=""),TODAY()-E119,"")</f>
        <v/>
      </c>
    </row>
    <row r="120" ht="15" customHeight="1" s="59">
      <c r="C120" s="98">
        <f>IF(B120="","",IFERROR(VLOOKUP(B120,EQUIPEMENTS!A:B,2,0),""))</f>
        <v/>
      </c>
      <c r="E120" s="91" t="n"/>
      <c r="H120" s="91" t="n"/>
      <c r="J120" s="97">
        <f>IF(AND(G120="Planifiée",E120&lt;TODAY(),H120=""),TODAY()-E120,"")</f>
        <v/>
      </c>
    </row>
    <row r="121" ht="15" customHeight="1" s="59">
      <c r="C121" s="98">
        <f>IF(B121="","",IFERROR(VLOOKUP(B121,EQUIPEMENTS!A:B,2,0),""))</f>
        <v/>
      </c>
      <c r="E121" s="91" t="n"/>
      <c r="H121" s="91" t="n"/>
      <c r="J121" s="97">
        <f>IF(AND(G121="Planifiée",E121&lt;TODAY(),H121=""),TODAY()-E121,"")</f>
        <v/>
      </c>
    </row>
    <row r="122" ht="15" customHeight="1" s="59">
      <c r="C122" s="98">
        <f>IF(B122="","",IFERROR(VLOOKUP(B122,EQUIPEMENTS!A:B,2,0),""))</f>
        <v/>
      </c>
      <c r="E122" s="91" t="n"/>
      <c r="H122" s="91" t="n"/>
      <c r="J122" s="97">
        <f>IF(AND(G122="Planifiée",E122&lt;TODAY(),H122=""),TODAY()-E122,"")</f>
        <v/>
      </c>
    </row>
    <row r="123" ht="15" customHeight="1" s="59">
      <c r="C123" s="98">
        <f>IF(B123="","",IFERROR(VLOOKUP(B123,EQUIPEMENTS!A:B,2,0),""))</f>
        <v/>
      </c>
      <c r="E123" s="91" t="n"/>
      <c r="H123" s="91" t="n"/>
      <c r="J123" s="97">
        <f>IF(AND(G123="Planifiée",E123&lt;TODAY(),H123=""),TODAY()-E123,"")</f>
        <v/>
      </c>
    </row>
    <row r="124" ht="15" customHeight="1" s="59">
      <c r="C124" s="98">
        <f>IF(B124="","",IFERROR(VLOOKUP(B124,EQUIPEMENTS!A:B,2,0),""))</f>
        <v/>
      </c>
      <c r="E124" s="91" t="n"/>
      <c r="H124" s="91" t="n"/>
      <c r="J124" s="97">
        <f>IF(AND(G124="Planifiée",E124&lt;TODAY(),H124=""),TODAY()-E124,"")</f>
        <v/>
      </c>
    </row>
    <row r="125" ht="15" customHeight="1" s="59">
      <c r="C125" s="98">
        <f>IF(B125="","",IFERROR(VLOOKUP(B125,EQUIPEMENTS!A:B,2,0),""))</f>
        <v/>
      </c>
      <c r="E125" s="91" t="n"/>
      <c r="H125" s="91" t="n"/>
      <c r="J125" s="97">
        <f>IF(AND(G125="Planifiée",E125&lt;TODAY(),H125=""),TODAY()-E125,"")</f>
        <v/>
      </c>
    </row>
    <row r="126" ht="15" customHeight="1" s="59">
      <c r="C126" s="98">
        <f>IF(B126="","",IFERROR(VLOOKUP(B126,EQUIPEMENTS!A:B,2,0),""))</f>
        <v/>
      </c>
      <c r="E126" s="91" t="n"/>
      <c r="H126" s="91" t="n"/>
      <c r="J126" s="97">
        <f>IF(AND(G126="Planifiée",E126&lt;TODAY(),H126=""),TODAY()-E126,"")</f>
        <v/>
      </c>
    </row>
    <row r="127" ht="15" customHeight="1" s="59">
      <c r="C127" s="98">
        <f>IF(B127="","",IFERROR(VLOOKUP(B127,EQUIPEMENTS!A:B,2,0),""))</f>
        <v/>
      </c>
      <c r="E127" s="91" t="n"/>
      <c r="H127" s="91" t="n"/>
      <c r="J127" s="97">
        <f>IF(AND(G127="Planifiée",E127&lt;TODAY(),H127=""),TODAY()-E127,"")</f>
        <v/>
      </c>
    </row>
    <row r="128" ht="15" customHeight="1" s="59">
      <c r="C128" s="98">
        <f>IF(B128="","",IFERROR(VLOOKUP(B128,EQUIPEMENTS!A:B,2,0),""))</f>
        <v/>
      </c>
      <c r="E128" s="91" t="n"/>
      <c r="H128" s="91" t="n"/>
      <c r="J128" s="97">
        <f>IF(AND(G128="Planifiée",E128&lt;TODAY(),H128=""),TODAY()-E128,"")</f>
        <v/>
      </c>
    </row>
    <row r="129" ht="15" customHeight="1" s="59">
      <c r="C129" s="98">
        <f>IF(B129="","",IFERROR(VLOOKUP(B129,EQUIPEMENTS!A:B,2,0),""))</f>
        <v/>
      </c>
      <c r="E129" s="91" t="n"/>
      <c r="H129" s="91" t="n"/>
      <c r="J129" s="97">
        <f>IF(AND(G129="Planifiée",E129&lt;TODAY(),H129=""),TODAY()-E129,"")</f>
        <v/>
      </c>
    </row>
    <row r="130" ht="15" customHeight="1" s="59">
      <c r="C130" s="98">
        <f>IF(B130="","",IFERROR(VLOOKUP(B130,EQUIPEMENTS!A:B,2,0),""))</f>
        <v/>
      </c>
      <c r="E130" s="91" t="n"/>
      <c r="H130" s="91" t="n"/>
      <c r="J130" s="97">
        <f>IF(AND(G130="Planifiée",E130&lt;TODAY(),H130=""),TODAY()-E130,"")</f>
        <v/>
      </c>
    </row>
    <row r="131" ht="15" customHeight="1" s="59">
      <c r="C131" s="98">
        <f>IF(B131="","",IFERROR(VLOOKUP(B131,EQUIPEMENTS!A:B,2,0),""))</f>
        <v/>
      </c>
      <c r="E131" s="91" t="n"/>
      <c r="H131" s="91" t="n"/>
      <c r="J131" s="97">
        <f>IF(AND(G131="Planifiée",E131&lt;TODAY(),H131=""),TODAY()-E131,"")</f>
        <v/>
      </c>
    </row>
    <row r="132" ht="15" customHeight="1" s="59">
      <c r="C132" s="98">
        <f>IF(B132="","",IFERROR(VLOOKUP(B132,EQUIPEMENTS!A:B,2,0),""))</f>
        <v/>
      </c>
      <c r="E132" s="91" t="n"/>
      <c r="H132" s="91" t="n"/>
      <c r="J132" s="97">
        <f>IF(AND(G132="Planifiée",E132&lt;TODAY(),H132=""),TODAY()-E132,"")</f>
        <v/>
      </c>
    </row>
    <row r="133" ht="15" customHeight="1" s="59">
      <c r="C133" s="98">
        <f>IF(B133="","",IFERROR(VLOOKUP(B133,EQUIPEMENTS!A:B,2,0),""))</f>
        <v/>
      </c>
      <c r="E133" s="91" t="n"/>
      <c r="H133" s="91" t="n"/>
      <c r="J133" s="97">
        <f>IF(AND(G133="Planifiée",E133&lt;TODAY(),H133=""),TODAY()-E133,"")</f>
        <v/>
      </c>
    </row>
    <row r="134" ht="15" customHeight="1" s="59">
      <c r="C134" s="98">
        <f>IF(B134="","",IFERROR(VLOOKUP(B134,EQUIPEMENTS!A:B,2,0),""))</f>
        <v/>
      </c>
      <c r="E134" s="91" t="n"/>
      <c r="H134" s="91" t="n"/>
      <c r="J134" s="97">
        <f>IF(AND(G134="Planifiée",E134&lt;TODAY(),H134=""),TODAY()-E134,"")</f>
        <v/>
      </c>
    </row>
    <row r="135" ht="15" customHeight="1" s="59">
      <c r="C135" s="98">
        <f>IF(B135="","",IFERROR(VLOOKUP(B135,EQUIPEMENTS!A:B,2,0),""))</f>
        <v/>
      </c>
      <c r="E135" s="91" t="n"/>
      <c r="H135" s="91" t="n"/>
      <c r="J135" s="97">
        <f>IF(AND(G135="Planifiée",E135&lt;TODAY(),H135=""),TODAY()-E135,"")</f>
        <v/>
      </c>
    </row>
    <row r="136" ht="15" customHeight="1" s="59">
      <c r="C136" s="98">
        <f>IF(B136="","",IFERROR(VLOOKUP(B136,EQUIPEMENTS!A:B,2,0),""))</f>
        <v/>
      </c>
      <c r="E136" s="91" t="n"/>
      <c r="H136" s="91" t="n"/>
      <c r="J136" s="97">
        <f>IF(AND(G136="Planifiée",E136&lt;TODAY(),H136=""),TODAY()-E136,"")</f>
        <v/>
      </c>
    </row>
    <row r="137" ht="15" customHeight="1" s="59">
      <c r="C137" s="98">
        <f>IF(B137="","",IFERROR(VLOOKUP(B137,EQUIPEMENTS!A:B,2,0),""))</f>
        <v/>
      </c>
      <c r="E137" s="91" t="n"/>
      <c r="H137" s="91" t="n"/>
      <c r="J137" s="97">
        <f>IF(AND(G137="Planifiée",E137&lt;TODAY(),H137=""),TODAY()-E137,"")</f>
        <v/>
      </c>
    </row>
    <row r="138" ht="15" customHeight="1" s="59">
      <c r="C138" s="98">
        <f>IF(B138="","",IFERROR(VLOOKUP(B138,EQUIPEMENTS!A:B,2,0),""))</f>
        <v/>
      </c>
      <c r="E138" s="91" t="n"/>
      <c r="H138" s="91" t="n"/>
      <c r="J138" s="97">
        <f>IF(AND(G138="Planifiée",E138&lt;TODAY(),H138=""),TODAY()-E138,"")</f>
        <v/>
      </c>
    </row>
    <row r="139" ht="15" customHeight="1" s="59">
      <c r="C139" s="98">
        <f>IF(B139="","",IFERROR(VLOOKUP(B139,EQUIPEMENTS!A:B,2,0),""))</f>
        <v/>
      </c>
      <c r="E139" s="91" t="n"/>
      <c r="H139" s="91" t="n"/>
      <c r="J139" s="97">
        <f>IF(AND(G139="Planifiée",E139&lt;TODAY(),H139=""),TODAY()-E139,"")</f>
        <v/>
      </c>
    </row>
    <row r="140" ht="15" customHeight="1" s="59">
      <c r="C140" s="98">
        <f>IF(B140="","",IFERROR(VLOOKUP(B140,EQUIPEMENTS!A:B,2,0),""))</f>
        <v/>
      </c>
      <c r="E140" s="91" t="n"/>
      <c r="H140" s="91" t="n"/>
      <c r="J140" s="97">
        <f>IF(AND(G140="Planifiée",E140&lt;TODAY(),H140=""),TODAY()-E140,"")</f>
        <v/>
      </c>
    </row>
    <row r="141" ht="15" customHeight="1" s="59">
      <c r="C141" s="98">
        <f>IF(B141="","",IFERROR(VLOOKUP(B141,EQUIPEMENTS!A:B,2,0),""))</f>
        <v/>
      </c>
      <c r="E141" s="91" t="n"/>
      <c r="H141" s="91" t="n"/>
      <c r="J141" s="97">
        <f>IF(AND(G141="Planifiée",E141&lt;TODAY(),H141=""),TODAY()-E141,"")</f>
        <v/>
      </c>
    </row>
    <row r="142" ht="15" customHeight="1" s="59">
      <c r="C142" s="98">
        <f>IF(B142="","",IFERROR(VLOOKUP(B142,EQUIPEMENTS!A:B,2,0),""))</f>
        <v/>
      </c>
      <c r="E142" s="91" t="n"/>
      <c r="H142" s="91" t="n"/>
      <c r="J142" s="97">
        <f>IF(AND(G142="Planifiée",E142&lt;TODAY(),H142=""),TODAY()-E142,"")</f>
        <v/>
      </c>
    </row>
    <row r="143" ht="15" customHeight="1" s="59">
      <c r="C143" s="98">
        <f>IF(B143="","",IFERROR(VLOOKUP(B143,EQUIPEMENTS!A:B,2,0),""))</f>
        <v/>
      </c>
      <c r="E143" s="91" t="n"/>
      <c r="H143" s="91" t="n"/>
      <c r="J143" s="97">
        <f>IF(AND(G143="Planifiée",E143&lt;TODAY(),H143=""),TODAY()-E143,"")</f>
        <v/>
      </c>
    </row>
    <row r="144" ht="15" customHeight="1" s="59">
      <c r="C144" s="98">
        <f>IF(B144="","",IFERROR(VLOOKUP(B144,EQUIPEMENTS!A:B,2,0),""))</f>
        <v/>
      </c>
      <c r="E144" s="91" t="n"/>
      <c r="H144" s="91" t="n"/>
      <c r="J144" s="97">
        <f>IF(AND(G144="Planifiée",E144&lt;TODAY(),H144=""),TODAY()-E144,"")</f>
        <v/>
      </c>
    </row>
    <row r="145" ht="15" customHeight="1" s="59">
      <c r="C145" s="98">
        <f>IF(B145="","",IFERROR(VLOOKUP(B145,EQUIPEMENTS!A:B,2,0),""))</f>
        <v/>
      </c>
      <c r="E145" s="91" t="n"/>
      <c r="H145" s="91" t="n"/>
      <c r="J145" s="97">
        <f>IF(AND(G145="Planifiée",E145&lt;TODAY(),H145=""),TODAY()-E145,"")</f>
        <v/>
      </c>
    </row>
    <row r="146" ht="15" customHeight="1" s="59">
      <c r="C146" s="98">
        <f>IF(B146="","",IFERROR(VLOOKUP(B146,EQUIPEMENTS!A:B,2,0),""))</f>
        <v/>
      </c>
      <c r="E146" s="91" t="n"/>
      <c r="H146" s="91" t="n"/>
      <c r="J146" s="97">
        <f>IF(AND(G146="Planifiée",E146&lt;TODAY(),H146=""),TODAY()-E146,"")</f>
        <v/>
      </c>
    </row>
    <row r="147" ht="15" customHeight="1" s="59">
      <c r="C147" s="98">
        <f>IF(B147="","",IFERROR(VLOOKUP(B147,EQUIPEMENTS!A:B,2,0),""))</f>
        <v/>
      </c>
      <c r="E147" s="91" t="n"/>
      <c r="H147" s="91" t="n"/>
      <c r="J147" s="97">
        <f>IF(AND(G147="Planifiée",E147&lt;TODAY(),H147=""),TODAY()-E147,"")</f>
        <v/>
      </c>
    </row>
    <row r="148" ht="15" customHeight="1" s="59">
      <c r="C148" s="98">
        <f>IF(B148="","",IFERROR(VLOOKUP(B148,EQUIPEMENTS!A:B,2,0),""))</f>
        <v/>
      </c>
      <c r="E148" s="91" t="n"/>
      <c r="H148" s="91" t="n"/>
      <c r="J148" s="97">
        <f>IF(AND(G148="Planifiée",E148&lt;TODAY(),H148=""),TODAY()-E148,"")</f>
        <v/>
      </c>
    </row>
    <row r="149" ht="15" customHeight="1" s="59">
      <c r="C149" s="98">
        <f>IF(B149="","",IFERROR(VLOOKUP(B149,EQUIPEMENTS!A:B,2,0),""))</f>
        <v/>
      </c>
      <c r="E149" s="91" t="n"/>
      <c r="H149" s="91" t="n"/>
      <c r="J149" s="97">
        <f>IF(AND(G149="Planifiée",E149&lt;TODAY(),H149=""),TODAY()-E149,"")</f>
        <v/>
      </c>
    </row>
    <row r="150" ht="15" customHeight="1" s="59">
      <c r="C150" s="98">
        <f>IF(B150="","",IFERROR(VLOOKUP(B150,EQUIPEMENTS!A:B,2,0),""))</f>
        <v/>
      </c>
      <c r="E150" s="91" t="n"/>
      <c r="H150" s="91" t="n"/>
      <c r="J150" s="97">
        <f>IF(AND(G150="Planifiée",E150&lt;TODAY(),H150=""),TODAY()-E150,"")</f>
        <v/>
      </c>
    </row>
    <row r="151" ht="15" customHeight="1" s="59">
      <c r="C151" s="98">
        <f>IF(B151="","",IFERROR(VLOOKUP(B151,EQUIPEMENTS!A:B,2,0),""))</f>
        <v/>
      </c>
      <c r="E151" s="91" t="n"/>
      <c r="H151" s="91" t="n"/>
      <c r="J151" s="97">
        <f>IF(AND(G151="Planifiée",E151&lt;TODAY(),H151=""),TODAY()-E151,"")</f>
        <v/>
      </c>
    </row>
    <row r="152" ht="15" customHeight="1" s="59">
      <c r="C152" s="98">
        <f>IF(B152="","",IFERROR(VLOOKUP(B152,EQUIPEMENTS!A:B,2,0),""))</f>
        <v/>
      </c>
      <c r="E152" s="91" t="n"/>
      <c r="H152" s="91" t="n"/>
      <c r="J152" s="97">
        <f>IF(AND(G152="Planifiée",E152&lt;TODAY(),H152=""),TODAY()-E152,"")</f>
        <v/>
      </c>
    </row>
    <row r="153" ht="15" customHeight="1" s="59">
      <c r="C153" s="98">
        <f>IF(B153="","",IFERROR(VLOOKUP(B153,EQUIPEMENTS!A:B,2,0),""))</f>
        <v/>
      </c>
      <c r="E153" s="91" t="n"/>
      <c r="H153" s="91" t="n"/>
      <c r="J153" s="97">
        <f>IF(AND(G153="Planifiée",E153&lt;TODAY(),H153=""),TODAY()-E153,"")</f>
        <v/>
      </c>
    </row>
    <row r="154" ht="15" customHeight="1" s="59">
      <c r="C154" s="98">
        <f>IF(B154="","",IFERROR(VLOOKUP(B154,EQUIPEMENTS!A:B,2,0),""))</f>
        <v/>
      </c>
      <c r="E154" s="91" t="n"/>
      <c r="H154" s="91" t="n"/>
      <c r="J154" s="97">
        <f>IF(AND(G154="Planifiée",E154&lt;TODAY(),H154=""),TODAY()-E154,"")</f>
        <v/>
      </c>
    </row>
    <row r="155" ht="15" customHeight="1" s="59">
      <c r="C155" s="98">
        <f>IF(B155="","",IFERROR(VLOOKUP(B155,EQUIPEMENTS!A:B,2,0),""))</f>
        <v/>
      </c>
      <c r="E155" s="91" t="n"/>
      <c r="H155" s="91" t="n"/>
      <c r="J155" s="97">
        <f>IF(AND(G155="Planifiée",E155&lt;TODAY(),H155=""),TODAY()-E155,"")</f>
        <v/>
      </c>
    </row>
    <row r="156" ht="15" customHeight="1" s="59">
      <c r="C156" s="98">
        <f>IF(B156="","",IFERROR(VLOOKUP(B156,EQUIPEMENTS!A:B,2,0),""))</f>
        <v/>
      </c>
      <c r="E156" s="91" t="n"/>
      <c r="H156" s="91" t="n"/>
      <c r="J156" s="97">
        <f>IF(AND(G156="Planifiée",E156&lt;TODAY(),H156=""),TODAY()-E156,"")</f>
        <v/>
      </c>
    </row>
    <row r="157" ht="15" customHeight="1" s="59">
      <c r="C157" s="98">
        <f>IF(B157="","",IFERROR(VLOOKUP(B157,EQUIPEMENTS!A:B,2,0),""))</f>
        <v/>
      </c>
      <c r="E157" s="91" t="n"/>
      <c r="H157" s="91" t="n"/>
      <c r="J157" s="97">
        <f>IF(AND(G157="Planifiée",E157&lt;TODAY(),H157=""),TODAY()-E157,"")</f>
        <v/>
      </c>
    </row>
    <row r="158" ht="15" customHeight="1" s="59">
      <c r="C158" s="98">
        <f>IF(B158="","",IFERROR(VLOOKUP(B158,EQUIPEMENTS!A:B,2,0),""))</f>
        <v/>
      </c>
      <c r="E158" s="91" t="n"/>
      <c r="H158" s="91" t="n"/>
      <c r="J158" s="97">
        <f>IF(AND(G158="Planifiée",E158&lt;TODAY(),H158=""),TODAY()-E158,"")</f>
        <v/>
      </c>
    </row>
    <row r="159" ht="15" customHeight="1" s="59">
      <c r="C159" s="98">
        <f>IF(B159="","",IFERROR(VLOOKUP(B159,EQUIPEMENTS!A:B,2,0),""))</f>
        <v/>
      </c>
      <c r="E159" s="91" t="n"/>
      <c r="H159" s="91" t="n"/>
      <c r="J159" s="97">
        <f>IF(AND(G159="Planifiée",E159&lt;TODAY(),H159=""),TODAY()-E159,"")</f>
        <v/>
      </c>
    </row>
    <row r="160" ht="15" customHeight="1" s="59">
      <c r="C160" s="98">
        <f>IF(B160="","",IFERROR(VLOOKUP(B160,EQUIPEMENTS!A:B,2,0),""))</f>
        <v/>
      </c>
      <c r="E160" s="91" t="n"/>
      <c r="H160" s="91" t="n"/>
      <c r="J160" s="97">
        <f>IF(AND(G160="Planifiée",E160&lt;TODAY(),H160=""),TODAY()-E160,"")</f>
        <v/>
      </c>
    </row>
    <row r="161" ht="15" customHeight="1" s="59">
      <c r="C161" s="98">
        <f>IF(B161="","",IFERROR(VLOOKUP(B161,EQUIPEMENTS!A:B,2,0),""))</f>
        <v/>
      </c>
      <c r="E161" s="91" t="n"/>
      <c r="H161" s="91" t="n"/>
      <c r="J161" s="97">
        <f>IF(AND(G161="Planifiée",E161&lt;TODAY(),H161=""),TODAY()-E161,"")</f>
        <v/>
      </c>
    </row>
    <row r="162" ht="15" customHeight="1" s="59">
      <c r="C162" s="98">
        <f>IF(B162="","",IFERROR(VLOOKUP(B162,EQUIPEMENTS!A:B,2,0),""))</f>
        <v/>
      </c>
      <c r="E162" s="91" t="n"/>
      <c r="H162" s="91" t="n"/>
      <c r="J162" s="97">
        <f>IF(AND(G162="Planifiée",E162&lt;TODAY(),H162=""),TODAY()-E162,"")</f>
        <v/>
      </c>
    </row>
    <row r="163" ht="15" customHeight="1" s="59">
      <c r="C163" s="98">
        <f>IF(B163="","",IFERROR(VLOOKUP(B163,EQUIPEMENTS!A:B,2,0),""))</f>
        <v/>
      </c>
      <c r="E163" s="91" t="n"/>
      <c r="H163" s="91" t="n"/>
      <c r="J163" s="97">
        <f>IF(AND(G163="Planifiée",E163&lt;TODAY(),H163=""),TODAY()-E163,"")</f>
        <v/>
      </c>
    </row>
    <row r="164" ht="15" customHeight="1" s="59">
      <c r="C164" s="98">
        <f>IF(B164="","",IFERROR(VLOOKUP(B164,EQUIPEMENTS!A:B,2,0),""))</f>
        <v/>
      </c>
      <c r="E164" s="91" t="n"/>
      <c r="H164" s="91" t="n"/>
      <c r="J164" s="97">
        <f>IF(AND(G164="Planifiée",E164&lt;TODAY(),H164=""),TODAY()-E164,"")</f>
        <v/>
      </c>
    </row>
    <row r="165" ht="15" customHeight="1" s="59">
      <c r="C165" s="98">
        <f>IF(B165="","",IFERROR(VLOOKUP(B165,EQUIPEMENTS!A:B,2,0),""))</f>
        <v/>
      </c>
      <c r="E165" s="91" t="n"/>
      <c r="H165" s="91" t="n"/>
      <c r="J165" s="97">
        <f>IF(AND(G165="Planifiée",E165&lt;TODAY(),H165=""),TODAY()-E165,"")</f>
        <v/>
      </c>
    </row>
    <row r="166" ht="15" customHeight="1" s="59">
      <c r="C166" s="98">
        <f>IF(B166="","",IFERROR(VLOOKUP(B166,EQUIPEMENTS!A:B,2,0),""))</f>
        <v/>
      </c>
      <c r="E166" s="91" t="n"/>
      <c r="H166" s="91" t="n"/>
      <c r="J166" s="97">
        <f>IF(AND(G166="Planifiée",E166&lt;TODAY(),H166=""),TODAY()-E166,"")</f>
        <v/>
      </c>
    </row>
    <row r="167" ht="15" customHeight="1" s="59">
      <c r="C167" s="98">
        <f>IF(B167="","",IFERROR(VLOOKUP(B167,EQUIPEMENTS!A:B,2,0),""))</f>
        <v/>
      </c>
      <c r="E167" s="91" t="n"/>
      <c r="H167" s="91" t="n"/>
      <c r="J167" s="97">
        <f>IF(AND(G167="Planifiée",E167&lt;TODAY(),H167=""),TODAY()-E167,"")</f>
        <v/>
      </c>
    </row>
    <row r="168" ht="15" customHeight="1" s="59">
      <c r="C168" s="98">
        <f>IF(B168="","",IFERROR(VLOOKUP(B168,EQUIPEMENTS!A:B,2,0),""))</f>
        <v/>
      </c>
      <c r="E168" s="91" t="n"/>
      <c r="H168" s="91" t="n"/>
      <c r="J168" s="97">
        <f>IF(AND(G168="Planifiée",E168&lt;TODAY(),H168=""),TODAY()-E168,"")</f>
        <v/>
      </c>
    </row>
    <row r="169" ht="15" customHeight="1" s="59">
      <c r="C169" s="98">
        <f>IF(B169="","",IFERROR(VLOOKUP(B169,EQUIPEMENTS!A:B,2,0),""))</f>
        <v/>
      </c>
      <c r="E169" s="91" t="n"/>
      <c r="H169" s="91" t="n"/>
      <c r="J169" s="97">
        <f>IF(AND(G169="Planifiée",E169&lt;TODAY(),H169=""),TODAY()-E169,"")</f>
        <v/>
      </c>
    </row>
    <row r="170" ht="15" customHeight="1" s="59">
      <c r="C170" s="98">
        <f>IF(B170="","",IFERROR(VLOOKUP(B170,EQUIPEMENTS!A:B,2,0),""))</f>
        <v/>
      </c>
      <c r="E170" s="91" t="n"/>
      <c r="H170" s="91" t="n"/>
      <c r="J170" s="97">
        <f>IF(AND(G170="Planifiée",E170&lt;TODAY(),H170=""),TODAY()-E170,"")</f>
        <v/>
      </c>
    </row>
    <row r="171" ht="15" customHeight="1" s="59">
      <c r="C171" s="98">
        <f>IF(B171="","",IFERROR(VLOOKUP(B171,EQUIPEMENTS!A:B,2,0),""))</f>
        <v/>
      </c>
      <c r="E171" s="91" t="n"/>
      <c r="H171" s="91" t="n"/>
      <c r="J171" s="97">
        <f>IF(AND(G171="Planifiée",E171&lt;TODAY(),H171=""),TODAY()-E171,"")</f>
        <v/>
      </c>
    </row>
    <row r="172" ht="15" customHeight="1" s="59">
      <c r="C172" s="98">
        <f>IF(B172="","",IFERROR(VLOOKUP(B172,EQUIPEMENTS!A:B,2,0),""))</f>
        <v/>
      </c>
      <c r="E172" s="91" t="n"/>
      <c r="H172" s="91" t="n"/>
      <c r="J172" s="97">
        <f>IF(AND(G172="Planifiée",E172&lt;TODAY(),H172=""),TODAY()-E172,"")</f>
        <v/>
      </c>
    </row>
    <row r="173" ht="15" customHeight="1" s="59">
      <c r="C173" s="98">
        <f>IF(B173="","",IFERROR(VLOOKUP(B173,EQUIPEMENTS!A:B,2,0),""))</f>
        <v/>
      </c>
      <c r="E173" s="91" t="n"/>
      <c r="H173" s="91" t="n"/>
      <c r="J173" s="97">
        <f>IF(AND(G173="Planifiée",E173&lt;TODAY(),H173=""),TODAY()-E173,"")</f>
        <v/>
      </c>
    </row>
    <row r="174" ht="15" customHeight="1" s="59">
      <c r="C174" s="98">
        <f>IF(B174="","",IFERROR(VLOOKUP(B174,EQUIPEMENTS!A:B,2,0),""))</f>
        <v/>
      </c>
      <c r="E174" s="91" t="n"/>
      <c r="H174" s="91" t="n"/>
      <c r="J174" s="97">
        <f>IF(AND(G174="Planifiée",E174&lt;TODAY(),H174=""),TODAY()-E174,"")</f>
        <v/>
      </c>
    </row>
    <row r="175" ht="15" customHeight="1" s="59">
      <c r="C175" s="98">
        <f>IF(B175="","",IFERROR(VLOOKUP(B175,EQUIPEMENTS!A:B,2,0),""))</f>
        <v/>
      </c>
      <c r="E175" s="91" t="n"/>
      <c r="H175" s="91" t="n"/>
      <c r="J175" s="97">
        <f>IF(AND(G175="Planifiée",E175&lt;TODAY(),H175=""),TODAY()-E175,"")</f>
        <v/>
      </c>
    </row>
    <row r="176" ht="15" customHeight="1" s="59">
      <c r="C176" s="98">
        <f>IF(B176="","",IFERROR(VLOOKUP(B176,EQUIPEMENTS!A:B,2,0),""))</f>
        <v/>
      </c>
      <c r="E176" s="91" t="n"/>
      <c r="H176" s="91" t="n"/>
      <c r="J176" s="97">
        <f>IF(AND(G176="Planifiée",E176&lt;TODAY(),H176=""),TODAY()-E176,"")</f>
        <v/>
      </c>
    </row>
    <row r="177" ht="15" customHeight="1" s="59">
      <c r="C177" s="98">
        <f>IF(B177="","",IFERROR(VLOOKUP(B177,EQUIPEMENTS!A:B,2,0),""))</f>
        <v/>
      </c>
      <c r="E177" s="91" t="n"/>
      <c r="H177" s="91" t="n"/>
      <c r="J177" s="97">
        <f>IF(AND(G177="Planifiée",E177&lt;TODAY(),H177=""),TODAY()-E177,"")</f>
        <v/>
      </c>
    </row>
    <row r="178" ht="15" customHeight="1" s="59">
      <c r="C178" s="98">
        <f>IF(B178="","",IFERROR(VLOOKUP(B178,EQUIPEMENTS!A:B,2,0),""))</f>
        <v/>
      </c>
      <c r="E178" s="91" t="n"/>
      <c r="H178" s="91" t="n"/>
      <c r="J178" s="97">
        <f>IF(AND(G178="Planifiée",E178&lt;TODAY(),H178=""),TODAY()-E178,"")</f>
        <v/>
      </c>
    </row>
    <row r="179" ht="15" customHeight="1" s="59">
      <c r="C179" s="98">
        <f>IF(B179="","",IFERROR(VLOOKUP(B179,EQUIPEMENTS!A:B,2,0),""))</f>
        <v/>
      </c>
      <c r="E179" s="91" t="n"/>
      <c r="H179" s="91" t="n"/>
      <c r="J179" s="97">
        <f>IF(AND(G179="Planifiée",E179&lt;TODAY(),H179=""),TODAY()-E179,"")</f>
        <v/>
      </c>
    </row>
    <row r="180" ht="15" customHeight="1" s="59">
      <c r="C180" s="98">
        <f>IF(B180="","",IFERROR(VLOOKUP(B180,EQUIPEMENTS!A:B,2,0),""))</f>
        <v/>
      </c>
      <c r="E180" s="91" t="n"/>
      <c r="H180" s="91" t="n"/>
      <c r="J180" s="97">
        <f>IF(AND(G180="Planifiée",E180&lt;TODAY(),H180=""),TODAY()-E180,"")</f>
        <v/>
      </c>
    </row>
    <row r="181" ht="15" customHeight="1" s="59">
      <c r="C181" s="98">
        <f>IF(B181="","",IFERROR(VLOOKUP(B181,EQUIPEMENTS!A:B,2,0),""))</f>
        <v/>
      </c>
      <c r="E181" s="91" t="n"/>
      <c r="H181" s="91" t="n"/>
      <c r="J181" s="97">
        <f>IF(AND(G181="Planifiée",E181&lt;TODAY(),H181=""),TODAY()-E181,"")</f>
        <v/>
      </c>
    </row>
    <row r="182" ht="15" customHeight="1" s="59">
      <c r="C182" s="98">
        <f>IF(B182="","",IFERROR(VLOOKUP(B182,EQUIPEMENTS!A:B,2,0),""))</f>
        <v/>
      </c>
      <c r="E182" s="91" t="n"/>
      <c r="H182" s="91" t="n"/>
      <c r="J182" s="97">
        <f>IF(AND(G182="Planifiée",E182&lt;TODAY(),H182=""),TODAY()-E182,"")</f>
        <v/>
      </c>
    </row>
    <row r="183" ht="15" customHeight="1" s="59">
      <c r="C183" s="98">
        <f>IF(B183="","",IFERROR(VLOOKUP(B183,EQUIPEMENTS!A:B,2,0),""))</f>
        <v/>
      </c>
      <c r="E183" s="91" t="n"/>
      <c r="H183" s="91" t="n"/>
      <c r="J183" s="97">
        <f>IF(AND(G183="Planifiée",E183&lt;TODAY(),H183=""),TODAY()-E183,"")</f>
        <v/>
      </c>
    </row>
    <row r="184" ht="15" customHeight="1" s="59">
      <c r="C184" s="98">
        <f>IF(B184="","",IFERROR(VLOOKUP(B184,EQUIPEMENTS!A:B,2,0),""))</f>
        <v/>
      </c>
      <c r="E184" s="91" t="n"/>
      <c r="H184" s="91" t="n"/>
      <c r="J184" s="97">
        <f>IF(AND(G184="Planifiée",E184&lt;TODAY(),H184=""),TODAY()-E184,"")</f>
        <v/>
      </c>
    </row>
    <row r="185" ht="15" customHeight="1" s="59">
      <c r="C185" s="98">
        <f>IF(B185="","",IFERROR(VLOOKUP(B185,EQUIPEMENTS!A:B,2,0),""))</f>
        <v/>
      </c>
      <c r="E185" s="91" t="n"/>
      <c r="H185" s="91" t="n"/>
      <c r="J185" s="97">
        <f>IF(AND(G185="Planifiée",E185&lt;TODAY(),H185=""),TODAY()-E185,"")</f>
        <v/>
      </c>
    </row>
    <row r="186" ht="15" customHeight="1" s="59">
      <c r="C186" s="98">
        <f>IF(B186="","",IFERROR(VLOOKUP(B186,EQUIPEMENTS!A:B,2,0),""))</f>
        <v/>
      </c>
      <c r="E186" s="91" t="n"/>
      <c r="H186" s="91" t="n"/>
      <c r="J186" s="97">
        <f>IF(AND(G186="Planifiée",E186&lt;TODAY(),H186=""),TODAY()-E186,"")</f>
        <v/>
      </c>
    </row>
    <row r="187" ht="15" customHeight="1" s="59">
      <c r="C187" s="98">
        <f>IF(B187="","",IFERROR(VLOOKUP(B187,EQUIPEMENTS!A:B,2,0),""))</f>
        <v/>
      </c>
      <c r="E187" s="91" t="n"/>
      <c r="H187" s="91" t="n"/>
      <c r="J187" s="97">
        <f>IF(AND(G187="Planifiée",E187&lt;TODAY(),H187=""),TODAY()-E187,"")</f>
        <v/>
      </c>
    </row>
    <row r="188" ht="15" customHeight="1" s="59">
      <c r="C188" s="98">
        <f>IF(B188="","",IFERROR(VLOOKUP(B188,EQUIPEMENTS!A:B,2,0),""))</f>
        <v/>
      </c>
      <c r="E188" s="91" t="n"/>
      <c r="H188" s="91" t="n"/>
      <c r="J188" s="97">
        <f>IF(AND(G188="Planifiée",E188&lt;TODAY(),H188=""),TODAY()-E188,"")</f>
        <v/>
      </c>
    </row>
    <row r="189" ht="15" customHeight="1" s="59">
      <c r="C189" s="98">
        <f>IF(B189="","",IFERROR(VLOOKUP(B189,EQUIPEMENTS!A:B,2,0),""))</f>
        <v/>
      </c>
      <c r="E189" s="91" t="n"/>
      <c r="H189" s="91" t="n"/>
      <c r="J189" s="97">
        <f>IF(AND(G189="Planifiée",E189&lt;TODAY(),H189=""),TODAY()-E189,"")</f>
        <v/>
      </c>
    </row>
    <row r="190" ht="15" customHeight="1" s="59">
      <c r="C190" s="98">
        <f>IF(B190="","",IFERROR(VLOOKUP(B190,EQUIPEMENTS!A:B,2,0),""))</f>
        <v/>
      </c>
      <c r="E190" s="91" t="n"/>
      <c r="H190" s="91" t="n"/>
      <c r="J190" s="97">
        <f>IF(AND(G190="Planifiée",E190&lt;TODAY(),H190=""),TODAY()-E190,"")</f>
        <v/>
      </c>
    </row>
    <row r="191" ht="15" customHeight="1" s="59">
      <c r="C191" s="98">
        <f>IF(B191="","",IFERROR(VLOOKUP(B191,EQUIPEMENTS!A:B,2,0),""))</f>
        <v/>
      </c>
      <c r="E191" s="91" t="n"/>
      <c r="H191" s="91" t="n"/>
      <c r="J191" s="97">
        <f>IF(AND(G191="Planifiée",E191&lt;TODAY(),H191=""),TODAY()-E191,"")</f>
        <v/>
      </c>
    </row>
    <row r="192" ht="15" customHeight="1" s="59">
      <c r="C192" s="98">
        <f>IF(B192="","",IFERROR(VLOOKUP(B192,EQUIPEMENTS!A:B,2,0),""))</f>
        <v/>
      </c>
      <c r="E192" s="91" t="n"/>
      <c r="H192" s="91" t="n"/>
      <c r="J192" s="97">
        <f>IF(AND(G192="Planifiée",E192&lt;TODAY(),H192=""),TODAY()-E192,"")</f>
        <v/>
      </c>
    </row>
    <row r="193" ht="15" customHeight="1" s="59">
      <c r="C193" s="98">
        <f>IF(B193="","",IFERROR(VLOOKUP(B193,EQUIPEMENTS!A:B,2,0),""))</f>
        <v/>
      </c>
      <c r="E193" s="91" t="n"/>
      <c r="H193" s="91" t="n"/>
      <c r="J193" s="97">
        <f>IF(AND(G193="Planifiée",E193&lt;TODAY(),H193=""),TODAY()-E193,"")</f>
        <v/>
      </c>
    </row>
    <row r="194" ht="15" customHeight="1" s="59">
      <c r="C194" s="98">
        <f>IF(B194="","",IFERROR(VLOOKUP(B194,EQUIPEMENTS!A:B,2,0),""))</f>
        <v/>
      </c>
      <c r="E194" s="91" t="n"/>
      <c r="H194" s="91" t="n"/>
      <c r="J194" s="97">
        <f>IF(AND(G194="Planifiée",E194&lt;TODAY(),H194=""),TODAY()-E194,"")</f>
        <v/>
      </c>
    </row>
    <row r="195" ht="15" customHeight="1" s="59">
      <c r="C195" s="98">
        <f>IF(B195="","",IFERROR(VLOOKUP(B195,EQUIPEMENTS!A:B,2,0),""))</f>
        <v/>
      </c>
      <c r="E195" s="91" t="n"/>
      <c r="H195" s="91" t="n"/>
      <c r="J195" s="97">
        <f>IF(AND(G195="Planifiée",E195&lt;TODAY(),H195=""),TODAY()-E195,"")</f>
        <v/>
      </c>
    </row>
    <row r="196" ht="15" customHeight="1" s="59">
      <c r="C196" s="98">
        <f>IF(B196="","",IFERROR(VLOOKUP(B196,EQUIPEMENTS!A:B,2,0),""))</f>
        <v/>
      </c>
      <c r="E196" s="91" t="n"/>
      <c r="H196" s="91" t="n"/>
      <c r="J196" s="97">
        <f>IF(AND(G196="Planifiée",E196&lt;TODAY(),H196=""),TODAY()-E196,"")</f>
        <v/>
      </c>
    </row>
    <row r="197" ht="15" customHeight="1" s="59">
      <c r="C197" s="98">
        <f>IF(B197="","",IFERROR(VLOOKUP(B197,EQUIPEMENTS!A:B,2,0),""))</f>
        <v/>
      </c>
      <c r="E197" s="91" t="n"/>
      <c r="H197" s="91" t="n"/>
      <c r="J197" s="97">
        <f>IF(AND(G197="Planifiée",E197&lt;TODAY(),H197=""),TODAY()-E197,"")</f>
        <v/>
      </c>
    </row>
    <row r="198" ht="15" customHeight="1" s="59">
      <c r="C198" s="98">
        <f>IF(B198="","",IFERROR(VLOOKUP(B198,EQUIPEMENTS!A:B,2,0),""))</f>
        <v/>
      </c>
      <c r="E198" s="91" t="n"/>
      <c r="H198" s="91" t="n"/>
      <c r="J198" s="97">
        <f>IF(AND(G198="Planifiée",E198&lt;TODAY(),H198=""),TODAY()-E198,"")</f>
        <v/>
      </c>
    </row>
    <row r="199" ht="15" customHeight="1" s="59">
      <c r="C199" s="98">
        <f>IF(B199="","",IFERROR(VLOOKUP(B199,EQUIPEMENTS!A:B,2,0),""))</f>
        <v/>
      </c>
      <c r="E199" s="91" t="n"/>
      <c r="H199" s="91" t="n"/>
      <c r="J199" s="97">
        <f>IF(AND(G199="Planifiée",E199&lt;TODAY(),H199=""),TODAY()-E199,"")</f>
        <v/>
      </c>
    </row>
    <row r="200" ht="15" customHeight="1" s="59">
      <c r="C200" s="98">
        <f>IF(B200="","",IFERROR(VLOOKUP(B200,EQUIPEMENTS!A:B,2,0),""))</f>
        <v/>
      </c>
      <c r="E200" s="91" t="n"/>
      <c r="H200" s="91" t="n"/>
      <c r="J200" s="97">
        <f>IF(AND(G200="Planifiée",E200&lt;TODAY(),H200=""),TODAY()-E200,"")</f>
        <v/>
      </c>
    </row>
    <row r="201" ht="15" customHeight="1" s="59">
      <c r="C201" s="98">
        <f>IF(B201="","",IFERROR(VLOOKUP(B201,EQUIPEMENTS!A:B,2,0),""))</f>
        <v/>
      </c>
      <c r="E201" s="91" t="n"/>
      <c r="H201" s="91" t="n"/>
      <c r="J201" s="97">
        <f>IF(AND(G201="Planifiée",E201&lt;TODAY(),H201=""),TODAY()-E201,"")</f>
        <v/>
      </c>
    </row>
    <row r="202" ht="15" customHeight="1" s="59">
      <c r="C202" s="98">
        <f>IF(B202="","",IFERROR(VLOOKUP(B202,EQUIPEMENTS!A:B,2,0),""))</f>
        <v/>
      </c>
      <c r="E202" s="91" t="n"/>
      <c r="H202" s="91" t="n"/>
      <c r="J202" s="97">
        <f>IF(AND(G202="Planifiée",E202&lt;TODAY(),H202=""),TODAY()-E202,"")</f>
        <v/>
      </c>
    </row>
    <row r="203" ht="15" customHeight="1" s="59">
      <c r="C203" s="98">
        <f>IF(B203="","",IFERROR(VLOOKUP(B203,EQUIPEMENTS!A:B,2,0),""))</f>
        <v/>
      </c>
      <c r="E203" s="91" t="n"/>
      <c r="H203" s="91" t="n"/>
      <c r="J203" s="97">
        <f>IF(AND(G203="Planifiée",E203&lt;TODAY(),H203=""),TODAY()-E203,"")</f>
        <v/>
      </c>
    </row>
    <row r="204" ht="15" customHeight="1" s="59">
      <c r="C204" s="98">
        <f>IF(B204="","",IFERROR(VLOOKUP(B204,EQUIPEMENTS!A:B,2,0),""))</f>
        <v/>
      </c>
      <c r="E204" s="91" t="n"/>
      <c r="H204" s="91" t="n"/>
      <c r="J204" s="97">
        <f>IF(AND(G204="Planifiée",E204&lt;TODAY(),H204=""),TODAY()-E204,"")</f>
        <v/>
      </c>
    </row>
    <row r="205" ht="15" customHeight="1" s="59">
      <c r="C205" s="98">
        <f>IF(B205="","",IFERROR(VLOOKUP(B205,EQUIPEMENTS!A:B,2,0),""))</f>
        <v/>
      </c>
      <c r="E205" s="91" t="n"/>
      <c r="H205" s="91" t="n"/>
      <c r="J205" s="97">
        <f>IF(AND(G205="Planifiée",E205&lt;TODAY(),H205=""),TODAY()-E205,"")</f>
        <v/>
      </c>
    </row>
    <row r="206" ht="15" customHeight="1" s="59">
      <c r="C206" s="98">
        <f>IF(B206="","",IFERROR(VLOOKUP(B206,EQUIPEMENTS!A:B,2,0),""))</f>
        <v/>
      </c>
      <c r="E206" s="91" t="n"/>
      <c r="H206" s="91" t="n"/>
      <c r="J206" s="97">
        <f>IF(AND(G206="Planifiée",E206&lt;TODAY(),H206=""),TODAY()-E206,"")</f>
        <v/>
      </c>
    </row>
    <row r="207" ht="15" customHeight="1" s="59">
      <c r="C207" s="98">
        <f>IF(B207="","",IFERROR(VLOOKUP(B207,EQUIPEMENTS!A:B,2,0),""))</f>
        <v/>
      </c>
      <c r="E207" s="91" t="n"/>
      <c r="H207" s="91" t="n"/>
      <c r="J207" s="97">
        <f>IF(AND(G207="Planifiée",E207&lt;TODAY(),H207=""),TODAY()-E207,"")</f>
        <v/>
      </c>
    </row>
    <row r="208" ht="15" customHeight="1" s="59">
      <c r="C208" s="98">
        <f>IF(B208="","",IFERROR(VLOOKUP(B208,EQUIPEMENTS!A:B,2,0),""))</f>
        <v/>
      </c>
      <c r="E208" s="91" t="n"/>
      <c r="H208" s="91" t="n"/>
      <c r="J208" s="97">
        <f>IF(AND(G208="Planifiée",E208&lt;TODAY(),H208=""),TODAY()-E208,"")</f>
        <v/>
      </c>
    </row>
    <row r="209" ht="15" customHeight="1" s="59">
      <c r="C209" s="98">
        <f>IF(B209="","",IFERROR(VLOOKUP(B209,EQUIPEMENTS!A:B,2,0),""))</f>
        <v/>
      </c>
      <c r="E209" s="91" t="n"/>
      <c r="H209" s="91" t="n"/>
      <c r="J209" s="97">
        <f>IF(AND(G209="Planifiée",E209&lt;TODAY(),H209=""),TODAY()-E209,"")</f>
        <v/>
      </c>
    </row>
    <row r="210" ht="15" customHeight="1" s="59">
      <c r="C210" s="98">
        <f>IF(B210="","",IFERROR(VLOOKUP(B210,EQUIPEMENTS!A:B,2,0),""))</f>
        <v/>
      </c>
      <c r="E210" s="91" t="n"/>
      <c r="H210" s="91" t="n"/>
      <c r="J210" s="97">
        <f>IF(AND(G210="Planifiée",E210&lt;TODAY(),H210=""),TODAY()-E210,"")</f>
        <v/>
      </c>
    </row>
    <row r="211" ht="15" customHeight="1" s="59">
      <c r="C211" s="98">
        <f>IF(B211="","",IFERROR(VLOOKUP(B211,EQUIPEMENTS!A:B,2,0),""))</f>
        <v/>
      </c>
      <c r="E211" s="91" t="n"/>
      <c r="H211" s="91" t="n"/>
      <c r="J211" s="97">
        <f>IF(AND(G211="Planifiée",E211&lt;TODAY(),H211=""),TODAY()-E211,"")</f>
        <v/>
      </c>
    </row>
    <row r="212" ht="15" customHeight="1" s="59">
      <c r="C212" s="98">
        <f>IF(B212="","",IFERROR(VLOOKUP(B212,EQUIPEMENTS!A:B,2,0),""))</f>
        <v/>
      </c>
      <c r="E212" s="91" t="n"/>
      <c r="H212" s="91" t="n"/>
      <c r="J212" s="97">
        <f>IF(AND(G212="Planifiée",E212&lt;TODAY(),H212=""),TODAY()-E212,"")</f>
        <v/>
      </c>
    </row>
    <row r="213" ht="15" customHeight="1" s="59">
      <c r="C213" s="98">
        <f>IF(B213="","",IFERROR(VLOOKUP(B213,EQUIPEMENTS!A:B,2,0),""))</f>
        <v/>
      </c>
      <c r="E213" s="91" t="n"/>
      <c r="H213" s="91" t="n"/>
      <c r="J213" s="97">
        <f>IF(AND(G213="Planifiée",E213&lt;TODAY(),H213=""),TODAY()-E213,"")</f>
        <v/>
      </c>
    </row>
    <row r="214" ht="15" customHeight="1" s="59">
      <c r="C214" s="98">
        <f>IF(B214="","",IFERROR(VLOOKUP(B214,EQUIPEMENTS!A:B,2,0),""))</f>
        <v/>
      </c>
      <c r="E214" s="91" t="n"/>
      <c r="H214" s="91" t="n"/>
      <c r="J214" s="97">
        <f>IF(AND(G214="Planifiée",E214&lt;TODAY(),H214=""),TODAY()-E214,"")</f>
        <v/>
      </c>
    </row>
    <row r="215" ht="15" customHeight="1" s="59">
      <c r="C215" s="98">
        <f>IF(B215="","",IFERROR(VLOOKUP(B215,EQUIPEMENTS!A:B,2,0),""))</f>
        <v/>
      </c>
      <c r="E215" s="91" t="n"/>
      <c r="H215" s="91" t="n"/>
      <c r="J215" s="97">
        <f>IF(AND(G215="Planifiée",E215&lt;TODAY(),H215=""),TODAY()-E215,"")</f>
        <v/>
      </c>
    </row>
    <row r="216" ht="15" customHeight="1" s="59">
      <c r="C216" s="98">
        <f>IF(B216="","",IFERROR(VLOOKUP(B216,EQUIPEMENTS!A:B,2,0),""))</f>
        <v/>
      </c>
      <c r="E216" s="91" t="n"/>
      <c r="H216" s="91" t="n"/>
      <c r="J216" s="97">
        <f>IF(AND(G216="Planifiée",E216&lt;TODAY(),H216=""),TODAY()-E216,"")</f>
        <v/>
      </c>
    </row>
    <row r="217" ht="15" customHeight="1" s="59">
      <c r="C217" s="98">
        <f>IF(B217="","",IFERROR(VLOOKUP(B217,EQUIPEMENTS!A:B,2,0),""))</f>
        <v/>
      </c>
      <c r="E217" s="91" t="n"/>
      <c r="H217" s="91" t="n"/>
      <c r="J217" s="97">
        <f>IF(AND(G217="Planifiée",E217&lt;TODAY(),H217=""),TODAY()-E217,"")</f>
        <v/>
      </c>
    </row>
    <row r="218" ht="15" customHeight="1" s="59">
      <c r="C218" s="98">
        <f>IF(B218="","",IFERROR(VLOOKUP(B218,EQUIPEMENTS!A:B,2,0),""))</f>
        <v/>
      </c>
      <c r="E218" s="91" t="n"/>
      <c r="H218" s="91" t="n"/>
      <c r="J218" s="97">
        <f>IF(AND(G218="Planifiée",E218&lt;TODAY(),H218=""),TODAY()-E218,"")</f>
        <v/>
      </c>
    </row>
    <row r="219" ht="15" customHeight="1" s="59">
      <c r="C219" s="98">
        <f>IF(B219="","",IFERROR(VLOOKUP(B219,EQUIPEMENTS!A:B,2,0),""))</f>
        <v/>
      </c>
      <c r="E219" s="91" t="n"/>
      <c r="H219" s="91" t="n"/>
      <c r="J219" s="97">
        <f>IF(AND(G219="Planifiée",E219&lt;TODAY(),H219=""),TODAY()-E219,"")</f>
        <v/>
      </c>
    </row>
    <row r="220" ht="15" customHeight="1" s="59">
      <c r="C220" s="98">
        <f>IF(B220="","",IFERROR(VLOOKUP(B220,EQUIPEMENTS!A:B,2,0),""))</f>
        <v/>
      </c>
      <c r="E220" s="91" t="n"/>
      <c r="H220" s="91" t="n"/>
      <c r="J220" s="97">
        <f>IF(AND(G220="Planifiée",E220&lt;TODAY(),H220=""),TODAY()-E220,"")</f>
        <v/>
      </c>
    </row>
    <row r="221" ht="15" customHeight="1" s="59">
      <c r="C221" s="98">
        <f>IF(B221="","",IFERROR(VLOOKUP(B221,EQUIPEMENTS!A:B,2,0),""))</f>
        <v/>
      </c>
      <c r="E221" s="91" t="n"/>
      <c r="H221" s="91" t="n"/>
      <c r="J221" s="97">
        <f>IF(AND(G221="Planifiée",E221&lt;TODAY(),H221=""),TODAY()-E221,"")</f>
        <v/>
      </c>
    </row>
    <row r="222" ht="15" customHeight="1" s="59">
      <c r="C222" s="98">
        <f>IF(B222="","",IFERROR(VLOOKUP(B222,EQUIPEMENTS!A:B,2,0),""))</f>
        <v/>
      </c>
      <c r="E222" s="91" t="n"/>
      <c r="H222" s="91" t="n"/>
      <c r="J222" s="97">
        <f>IF(AND(G222="Planifiée",E222&lt;TODAY(),H222=""),TODAY()-E222,"")</f>
        <v/>
      </c>
    </row>
    <row r="223" ht="15" customHeight="1" s="59">
      <c r="C223" s="98">
        <f>IF(B223="","",IFERROR(VLOOKUP(B223,EQUIPEMENTS!A:B,2,0),""))</f>
        <v/>
      </c>
      <c r="E223" s="91" t="n"/>
      <c r="H223" s="91" t="n"/>
      <c r="J223" s="97">
        <f>IF(AND(G223="Planifiée",E223&lt;TODAY(),H223=""),TODAY()-E223,"")</f>
        <v/>
      </c>
    </row>
    <row r="224" ht="15" customHeight="1" s="59">
      <c r="C224" s="98">
        <f>IF(B224="","",IFERROR(VLOOKUP(B224,EQUIPEMENTS!A:B,2,0),""))</f>
        <v/>
      </c>
      <c r="E224" s="91" t="n"/>
      <c r="H224" s="91" t="n"/>
      <c r="J224" s="97">
        <f>IF(AND(G224="Planifiée",E224&lt;TODAY(),H224=""),TODAY()-E224,"")</f>
        <v/>
      </c>
    </row>
    <row r="225" ht="15" customHeight="1" s="59">
      <c r="C225" s="98">
        <f>IF(B225="","",IFERROR(VLOOKUP(B225,EQUIPEMENTS!A:B,2,0),""))</f>
        <v/>
      </c>
      <c r="E225" s="91" t="n"/>
      <c r="H225" s="91" t="n"/>
      <c r="J225" s="97">
        <f>IF(AND(G225="Planifiée",E225&lt;TODAY(),H225=""),TODAY()-E225,"")</f>
        <v/>
      </c>
    </row>
    <row r="226" ht="15" customHeight="1" s="59">
      <c r="C226" s="98">
        <f>IF(B226="","",IFERROR(VLOOKUP(B226,EQUIPEMENTS!A:B,2,0),""))</f>
        <v/>
      </c>
      <c r="E226" s="91" t="n"/>
      <c r="H226" s="91" t="n"/>
      <c r="J226" s="97">
        <f>IF(AND(G226="Planifiée",E226&lt;TODAY(),H226=""),TODAY()-E226,"")</f>
        <v/>
      </c>
    </row>
    <row r="227" ht="15" customHeight="1" s="59">
      <c r="C227" s="98">
        <f>IF(B227="","",IFERROR(VLOOKUP(B227,EQUIPEMENTS!A:B,2,0),""))</f>
        <v/>
      </c>
      <c r="E227" s="91" t="n"/>
      <c r="H227" s="91" t="n"/>
      <c r="J227" s="97">
        <f>IF(AND(G227="Planifiée",E227&lt;TODAY(),H227=""),TODAY()-E227,"")</f>
        <v/>
      </c>
    </row>
    <row r="228" ht="15" customHeight="1" s="59">
      <c r="C228" s="98">
        <f>IF(B228="","",IFERROR(VLOOKUP(B228,EQUIPEMENTS!A:B,2,0),""))</f>
        <v/>
      </c>
      <c r="E228" s="91" t="n"/>
      <c r="H228" s="91" t="n"/>
      <c r="J228" s="97">
        <f>IF(AND(G228="Planifiée",E228&lt;TODAY(),H228=""),TODAY()-E228,"")</f>
        <v/>
      </c>
    </row>
    <row r="229" ht="15" customHeight="1" s="59">
      <c r="C229" s="98">
        <f>IF(B229="","",IFERROR(VLOOKUP(B229,EQUIPEMENTS!A:B,2,0),""))</f>
        <v/>
      </c>
      <c r="E229" s="91" t="n"/>
      <c r="H229" s="91" t="n"/>
      <c r="J229" s="97">
        <f>IF(AND(G229="Planifiée",E229&lt;TODAY(),H229=""),TODAY()-E229,"")</f>
        <v/>
      </c>
    </row>
    <row r="230" ht="15" customHeight="1" s="59">
      <c r="C230" s="98">
        <f>IF(B230="","",IFERROR(VLOOKUP(B230,EQUIPEMENTS!A:B,2,0),""))</f>
        <v/>
      </c>
      <c r="E230" s="91" t="n"/>
      <c r="H230" s="91" t="n"/>
      <c r="J230" s="97">
        <f>IF(AND(G230="Planifiée",E230&lt;TODAY(),H230=""),TODAY()-E230,"")</f>
        <v/>
      </c>
    </row>
    <row r="231" ht="15" customHeight="1" s="59">
      <c r="C231" s="98">
        <f>IF(B231="","",IFERROR(VLOOKUP(B231,EQUIPEMENTS!A:B,2,0),""))</f>
        <v/>
      </c>
      <c r="E231" s="91" t="n"/>
      <c r="H231" s="91" t="n"/>
      <c r="J231" s="97">
        <f>IF(AND(G231="Planifiée",E231&lt;TODAY(),H231=""),TODAY()-E231,"")</f>
        <v/>
      </c>
    </row>
    <row r="232" ht="15" customHeight="1" s="59">
      <c r="C232" s="98">
        <f>IF(B232="","",IFERROR(VLOOKUP(B232,EQUIPEMENTS!A:B,2,0),""))</f>
        <v/>
      </c>
      <c r="E232" s="91" t="n"/>
      <c r="H232" s="91" t="n"/>
      <c r="J232" s="97">
        <f>IF(AND(G232="Planifiée",E232&lt;TODAY(),H232=""),TODAY()-E232,"")</f>
        <v/>
      </c>
    </row>
    <row r="233" ht="15" customHeight="1" s="59">
      <c r="C233" s="98">
        <f>IF(B233="","",IFERROR(VLOOKUP(B233,EQUIPEMENTS!A:B,2,0),""))</f>
        <v/>
      </c>
      <c r="E233" s="91" t="n"/>
      <c r="H233" s="91" t="n"/>
      <c r="J233" s="97">
        <f>IF(AND(G233="Planifiée",E233&lt;TODAY(),H233=""),TODAY()-E233,"")</f>
        <v/>
      </c>
    </row>
    <row r="234" ht="15" customHeight="1" s="59">
      <c r="C234" s="98">
        <f>IF(B234="","",IFERROR(VLOOKUP(B234,EQUIPEMENTS!A:B,2,0),""))</f>
        <v/>
      </c>
      <c r="E234" s="91" t="n"/>
      <c r="H234" s="91" t="n"/>
      <c r="J234" s="97">
        <f>IF(AND(G234="Planifiée",E234&lt;TODAY(),H234=""),TODAY()-E234,"")</f>
        <v/>
      </c>
    </row>
    <row r="235" ht="15" customHeight="1" s="59">
      <c r="C235" s="98">
        <f>IF(B235="","",IFERROR(VLOOKUP(B235,EQUIPEMENTS!A:B,2,0),""))</f>
        <v/>
      </c>
      <c r="E235" s="91" t="n"/>
      <c r="H235" s="91" t="n"/>
      <c r="J235" s="97">
        <f>IF(AND(G235="Planifiée",E235&lt;TODAY(),H235=""),TODAY()-E235,"")</f>
        <v/>
      </c>
    </row>
    <row r="236" ht="15" customHeight="1" s="59">
      <c r="C236" s="98">
        <f>IF(B236="","",IFERROR(VLOOKUP(B236,EQUIPEMENTS!A:B,2,0),""))</f>
        <v/>
      </c>
      <c r="E236" s="91" t="n"/>
      <c r="H236" s="91" t="n"/>
      <c r="J236" s="97">
        <f>IF(AND(G236="Planifiée",E236&lt;TODAY(),H236=""),TODAY()-E236,"")</f>
        <v/>
      </c>
    </row>
    <row r="237" ht="15" customHeight="1" s="59">
      <c r="C237" s="98">
        <f>IF(B237="","",IFERROR(VLOOKUP(B237,EQUIPEMENTS!A:B,2,0),""))</f>
        <v/>
      </c>
      <c r="E237" s="91" t="n"/>
      <c r="H237" s="91" t="n"/>
      <c r="J237" s="97">
        <f>IF(AND(G237="Planifiée",E237&lt;TODAY(),H237=""),TODAY()-E237,"")</f>
        <v/>
      </c>
    </row>
    <row r="238" ht="15" customHeight="1" s="59">
      <c r="C238" s="98">
        <f>IF(B238="","",IFERROR(VLOOKUP(B238,EQUIPEMENTS!A:B,2,0),""))</f>
        <v/>
      </c>
      <c r="E238" s="91" t="n"/>
      <c r="H238" s="91" t="n"/>
      <c r="J238" s="97">
        <f>IF(AND(G238="Planifiée",E238&lt;TODAY(),H238=""),TODAY()-E238,"")</f>
        <v/>
      </c>
    </row>
    <row r="239" ht="15" customHeight="1" s="59">
      <c r="C239" s="98">
        <f>IF(B239="","",IFERROR(VLOOKUP(B239,EQUIPEMENTS!A:B,2,0),""))</f>
        <v/>
      </c>
      <c r="E239" s="91" t="n"/>
      <c r="H239" s="91" t="n"/>
      <c r="J239" s="97">
        <f>IF(AND(G239="Planifiée",E239&lt;TODAY(),H239=""),TODAY()-E239,"")</f>
        <v/>
      </c>
    </row>
    <row r="240" ht="15" customHeight="1" s="59">
      <c r="C240" s="98">
        <f>IF(B240="","",IFERROR(VLOOKUP(B240,EQUIPEMENTS!A:B,2,0),""))</f>
        <v/>
      </c>
      <c r="E240" s="91" t="n"/>
      <c r="H240" s="91" t="n"/>
      <c r="J240" s="97">
        <f>IF(AND(G240="Planifiée",E240&lt;TODAY(),H240=""),TODAY()-E240,"")</f>
        <v/>
      </c>
    </row>
    <row r="241" ht="15" customHeight="1" s="59">
      <c r="C241" s="98">
        <f>IF(B241="","",IFERROR(VLOOKUP(B241,EQUIPEMENTS!A:B,2,0),""))</f>
        <v/>
      </c>
      <c r="E241" s="91" t="n"/>
      <c r="H241" s="91" t="n"/>
      <c r="J241" s="97">
        <f>IF(AND(G241="Planifiée",E241&lt;TODAY(),H241=""),TODAY()-E241,"")</f>
        <v/>
      </c>
    </row>
    <row r="242" ht="15" customHeight="1" s="59">
      <c r="C242" s="98">
        <f>IF(B242="","",IFERROR(VLOOKUP(B242,EQUIPEMENTS!A:B,2,0),""))</f>
        <v/>
      </c>
      <c r="E242" s="91" t="n"/>
      <c r="H242" s="91" t="n"/>
      <c r="J242" s="97">
        <f>IF(AND(G242="Planifiée",E242&lt;TODAY(),H242=""),TODAY()-E242,"")</f>
        <v/>
      </c>
    </row>
    <row r="243" ht="15" customHeight="1" s="59">
      <c r="C243" s="98">
        <f>IF(B243="","",IFERROR(VLOOKUP(B243,EQUIPEMENTS!A:B,2,0),""))</f>
        <v/>
      </c>
      <c r="E243" s="91" t="n"/>
      <c r="H243" s="91" t="n"/>
      <c r="J243" s="97">
        <f>IF(AND(G243="Planifiée",E243&lt;TODAY(),H243=""),TODAY()-E243,"")</f>
        <v/>
      </c>
    </row>
    <row r="244" ht="15" customHeight="1" s="59">
      <c r="C244" s="98">
        <f>IF(B244="","",IFERROR(VLOOKUP(B244,EQUIPEMENTS!A:B,2,0),""))</f>
        <v/>
      </c>
      <c r="E244" s="91" t="n"/>
      <c r="H244" s="91" t="n"/>
      <c r="J244" s="97">
        <f>IF(AND(G244="Planifiée",E244&lt;TODAY(),H244=""),TODAY()-E244,"")</f>
        <v/>
      </c>
    </row>
    <row r="245" ht="15" customHeight="1" s="59">
      <c r="C245" s="98">
        <f>IF(B245="","",IFERROR(VLOOKUP(B245,EQUIPEMENTS!A:B,2,0),""))</f>
        <v/>
      </c>
      <c r="E245" s="91" t="n"/>
      <c r="H245" s="91" t="n"/>
      <c r="J245" s="97">
        <f>IF(AND(G245="Planifiée",E245&lt;TODAY(),H245=""),TODAY()-E245,"")</f>
        <v/>
      </c>
    </row>
    <row r="246" ht="15" customHeight="1" s="59">
      <c r="C246" s="98">
        <f>IF(B246="","",IFERROR(VLOOKUP(B246,EQUIPEMENTS!A:B,2,0),""))</f>
        <v/>
      </c>
      <c r="E246" s="91" t="n"/>
      <c r="H246" s="91" t="n"/>
      <c r="J246" s="97">
        <f>IF(AND(G246="Planifiée",E246&lt;TODAY(),H246=""),TODAY()-E246,"")</f>
        <v/>
      </c>
    </row>
    <row r="247" ht="15" customHeight="1" s="59">
      <c r="C247" s="98">
        <f>IF(B247="","",IFERROR(VLOOKUP(B247,EQUIPEMENTS!A:B,2,0),""))</f>
        <v/>
      </c>
      <c r="E247" s="91" t="n"/>
      <c r="H247" s="91" t="n"/>
      <c r="J247" s="97">
        <f>IF(AND(G247="Planifiée",E247&lt;TODAY(),H247=""),TODAY()-E247,"")</f>
        <v/>
      </c>
    </row>
    <row r="248" ht="15" customHeight="1" s="59">
      <c r="C248" s="98">
        <f>IF(B248="","",IFERROR(VLOOKUP(B248,EQUIPEMENTS!A:B,2,0),""))</f>
        <v/>
      </c>
      <c r="E248" s="91" t="n"/>
      <c r="H248" s="91" t="n"/>
      <c r="J248" s="97">
        <f>IF(AND(G248="Planifiée",E248&lt;TODAY(),H248=""),TODAY()-E248,"")</f>
        <v/>
      </c>
    </row>
    <row r="249" ht="15" customHeight="1" s="59">
      <c r="C249" s="98">
        <f>IF(B249="","",IFERROR(VLOOKUP(B249,EQUIPEMENTS!A:B,2,0),""))</f>
        <v/>
      </c>
      <c r="E249" s="91" t="n"/>
      <c r="H249" s="91" t="n"/>
      <c r="J249" s="97">
        <f>IF(AND(G249="Planifiée",E249&lt;TODAY(),H249=""),TODAY()-E249,"")</f>
        <v/>
      </c>
    </row>
    <row r="250" ht="15" customHeight="1" s="59">
      <c r="C250" s="98">
        <f>IF(B250="","",IFERROR(VLOOKUP(B250,EQUIPEMENTS!A:B,2,0),""))</f>
        <v/>
      </c>
      <c r="E250" s="91" t="n"/>
      <c r="H250" s="91" t="n"/>
      <c r="J250" s="97">
        <f>IF(AND(G250="Planifiée",E250&lt;TODAY(),H250=""),TODAY()-E250,"")</f>
        <v/>
      </c>
    </row>
    <row r="251" ht="15" customHeight="1" s="59">
      <c r="C251" s="98">
        <f>IF(B251="","",IFERROR(VLOOKUP(B251,EQUIPEMENTS!A:B,2,0),""))</f>
        <v/>
      </c>
      <c r="E251" s="91" t="n"/>
      <c r="H251" s="91" t="n"/>
      <c r="J251" s="97">
        <f>IF(AND(G251="Planifiée",E251&lt;TODAY(),H251=""),TODAY()-E251,"")</f>
        <v/>
      </c>
    </row>
    <row r="252" ht="15" customHeight="1" s="59">
      <c r="C252" s="98">
        <f>IF(B252="","",IFERROR(VLOOKUP(B252,EQUIPEMENTS!A:B,2,0),""))</f>
        <v/>
      </c>
      <c r="E252" s="91" t="n"/>
      <c r="H252" s="91" t="n"/>
      <c r="J252" s="97">
        <f>IF(AND(G252="Planifiée",E252&lt;TODAY(),H252=""),TODAY()-E252,"")</f>
        <v/>
      </c>
    </row>
    <row r="253" ht="15" customHeight="1" s="59">
      <c r="C253" s="98">
        <f>IF(B253="","",IFERROR(VLOOKUP(B253,EQUIPEMENTS!A:B,2,0),""))</f>
        <v/>
      </c>
      <c r="E253" s="91" t="n"/>
      <c r="H253" s="91" t="n"/>
      <c r="J253" s="97">
        <f>IF(AND(G253="Planifiée",E253&lt;TODAY(),H253=""),TODAY()-E253,"")</f>
        <v/>
      </c>
    </row>
    <row r="254" ht="15" customHeight="1" s="59">
      <c r="C254" s="98">
        <f>IF(B254="","",IFERROR(VLOOKUP(B254,EQUIPEMENTS!A:B,2,0),""))</f>
        <v/>
      </c>
      <c r="E254" s="91" t="n"/>
      <c r="H254" s="91" t="n"/>
      <c r="J254" s="97">
        <f>IF(AND(G254="Planifiée",E254&lt;TODAY(),H254=""),TODAY()-E254,"")</f>
        <v/>
      </c>
    </row>
    <row r="255" ht="15" customHeight="1" s="59">
      <c r="C255" s="98">
        <f>IF(B255="","",IFERROR(VLOOKUP(B255,EQUIPEMENTS!A:B,2,0),""))</f>
        <v/>
      </c>
      <c r="E255" s="91" t="n"/>
      <c r="H255" s="91" t="n"/>
      <c r="J255" s="97">
        <f>IF(AND(G255="Planifiée",E255&lt;TODAY(),H255=""),TODAY()-E255,"")</f>
        <v/>
      </c>
    </row>
    <row r="256" ht="15" customHeight="1" s="59">
      <c r="C256" s="98">
        <f>IF(B256="","",IFERROR(VLOOKUP(B256,EQUIPEMENTS!A:B,2,0),""))</f>
        <v/>
      </c>
      <c r="E256" s="91" t="n"/>
      <c r="H256" s="91" t="n"/>
      <c r="J256" s="97">
        <f>IF(AND(G256="Planifiée",E256&lt;TODAY(),H256=""),TODAY()-E256,"")</f>
        <v/>
      </c>
    </row>
    <row r="257" ht="15" customHeight="1" s="59">
      <c r="C257" s="98">
        <f>IF(B257="","",IFERROR(VLOOKUP(B257,EQUIPEMENTS!A:B,2,0),""))</f>
        <v/>
      </c>
      <c r="E257" s="91" t="n"/>
      <c r="H257" s="91" t="n"/>
      <c r="J257" s="97">
        <f>IF(AND(G257="Planifiée",E257&lt;TODAY(),H257=""),TODAY()-E257,"")</f>
        <v/>
      </c>
    </row>
    <row r="258" ht="15" customHeight="1" s="59">
      <c r="C258" s="98">
        <f>IF(B258="","",IFERROR(VLOOKUP(B258,EQUIPEMENTS!A:B,2,0),""))</f>
        <v/>
      </c>
      <c r="E258" s="91" t="n"/>
      <c r="H258" s="91" t="n"/>
      <c r="J258" s="97">
        <f>IF(AND(G258="Planifiée",E258&lt;TODAY(),H258=""),TODAY()-E258,"")</f>
        <v/>
      </c>
    </row>
    <row r="259" ht="15" customHeight="1" s="59">
      <c r="C259" s="98">
        <f>IF(B259="","",IFERROR(VLOOKUP(B259,EQUIPEMENTS!A:B,2,0),""))</f>
        <v/>
      </c>
      <c r="E259" s="91" t="n"/>
      <c r="H259" s="91" t="n"/>
      <c r="J259" s="97">
        <f>IF(AND(G259="Planifiée",E259&lt;TODAY(),H259=""),TODAY()-E259,"")</f>
        <v/>
      </c>
    </row>
    <row r="260" ht="15" customHeight="1" s="59">
      <c r="C260" s="98">
        <f>IF(B260="","",IFERROR(VLOOKUP(B260,EQUIPEMENTS!A:B,2,0),""))</f>
        <v/>
      </c>
      <c r="E260" s="91" t="n"/>
      <c r="H260" s="91" t="n"/>
      <c r="J260" s="97">
        <f>IF(AND(G260="Planifiée",E260&lt;TODAY(),H260=""),TODAY()-E260,"")</f>
        <v/>
      </c>
    </row>
    <row r="261" ht="15" customHeight="1" s="59">
      <c r="C261" s="98">
        <f>IF(B261="","",IFERROR(VLOOKUP(B261,EQUIPEMENTS!A:B,2,0),""))</f>
        <v/>
      </c>
      <c r="E261" s="91" t="n"/>
      <c r="H261" s="91" t="n"/>
      <c r="J261" s="97">
        <f>IF(AND(G261="Planifiée",E261&lt;TODAY(),H261=""),TODAY()-E261,"")</f>
        <v/>
      </c>
    </row>
    <row r="262" ht="15" customHeight="1" s="59">
      <c r="C262" s="98">
        <f>IF(B262="","",IFERROR(VLOOKUP(B262,EQUIPEMENTS!A:B,2,0),""))</f>
        <v/>
      </c>
      <c r="E262" s="91" t="n"/>
      <c r="H262" s="91" t="n"/>
      <c r="J262" s="97">
        <f>IF(AND(G262="Planifiée",E262&lt;TODAY(),H262=""),TODAY()-E262,"")</f>
        <v/>
      </c>
    </row>
    <row r="263" ht="15" customHeight="1" s="59">
      <c r="C263" s="98">
        <f>IF(B263="","",IFERROR(VLOOKUP(B263,EQUIPEMENTS!A:B,2,0),""))</f>
        <v/>
      </c>
      <c r="E263" s="91" t="n"/>
      <c r="H263" s="91" t="n"/>
      <c r="J263" s="97">
        <f>IF(AND(G263="Planifiée",E263&lt;TODAY(),H263=""),TODAY()-E263,"")</f>
        <v/>
      </c>
    </row>
    <row r="264" ht="15" customHeight="1" s="59">
      <c r="C264" s="98">
        <f>IF(B264="","",IFERROR(VLOOKUP(B264,EQUIPEMENTS!A:B,2,0),""))</f>
        <v/>
      </c>
      <c r="E264" s="91" t="n"/>
      <c r="H264" s="91" t="n"/>
      <c r="J264" s="97">
        <f>IF(AND(G264="Planifiée",E264&lt;TODAY(),H264=""),TODAY()-E264,"")</f>
        <v/>
      </c>
    </row>
    <row r="265" ht="15" customHeight="1" s="59">
      <c r="C265" s="98">
        <f>IF(B265="","",IFERROR(VLOOKUP(B265,EQUIPEMENTS!A:B,2,0),""))</f>
        <v/>
      </c>
      <c r="E265" s="91" t="n"/>
      <c r="H265" s="91" t="n"/>
      <c r="J265" s="97">
        <f>IF(AND(G265="Planifiée",E265&lt;TODAY(),H265=""),TODAY()-E265,"")</f>
        <v/>
      </c>
    </row>
    <row r="266" ht="15" customHeight="1" s="59">
      <c r="C266" s="98">
        <f>IF(B266="","",IFERROR(VLOOKUP(B266,EQUIPEMENTS!A:B,2,0),""))</f>
        <v/>
      </c>
      <c r="E266" s="91" t="n"/>
      <c r="H266" s="91" t="n"/>
      <c r="J266" s="97">
        <f>IF(AND(G266="Planifiée",E266&lt;TODAY(),H266=""),TODAY()-E266,"")</f>
        <v/>
      </c>
    </row>
    <row r="267" ht="15" customHeight="1" s="59">
      <c r="C267" s="98">
        <f>IF(B267="","",IFERROR(VLOOKUP(B267,EQUIPEMENTS!A:B,2,0),""))</f>
        <v/>
      </c>
      <c r="E267" s="91" t="n"/>
      <c r="H267" s="91" t="n"/>
      <c r="J267" s="97">
        <f>IF(AND(G267="Planifiée",E267&lt;TODAY(),H267=""),TODAY()-E267,"")</f>
        <v/>
      </c>
    </row>
    <row r="268" ht="15" customHeight="1" s="59">
      <c r="C268" s="98">
        <f>IF(B268="","",IFERROR(VLOOKUP(B268,EQUIPEMENTS!A:B,2,0),""))</f>
        <v/>
      </c>
      <c r="E268" s="91" t="n"/>
      <c r="H268" s="91" t="n"/>
      <c r="J268" s="97">
        <f>IF(AND(G268="Planifiée",E268&lt;TODAY(),H268=""),TODAY()-E268,"")</f>
        <v/>
      </c>
    </row>
    <row r="269" ht="15" customHeight="1" s="59">
      <c r="C269" s="98">
        <f>IF(B269="","",IFERROR(VLOOKUP(B269,EQUIPEMENTS!A:B,2,0),""))</f>
        <v/>
      </c>
      <c r="E269" s="91" t="n"/>
      <c r="H269" s="91" t="n"/>
      <c r="J269" s="97">
        <f>IF(AND(G269="Planifiée",E269&lt;TODAY(),H269=""),TODAY()-E269,"")</f>
        <v/>
      </c>
    </row>
    <row r="270" ht="15" customHeight="1" s="59">
      <c r="C270" s="98">
        <f>IF(B270="","",IFERROR(VLOOKUP(B270,EQUIPEMENTS!A:B,2,0),""))</f>
        <v/>
      </c>
      <c r="E270" s="91" t="n"/>
      <c r="H270" s="91" t="n"/>
      <c r="J270" s="97">
        <f>IF(AND(G270="Planifiée",E270&lt;TODAY(),H270=""),TODAY()-E270,"")</f>
        <v/>
      </c>
    </row>
    <row r="271" ht="15" customHeight="1" s="59">
      <c r="C271" s="98">
        <f>IF(B271="","",IFERROR(VLOOKUP(B271,EQUIPEMENTS!A:B,2,0),""))</f>
        <v/>
      </c>
      <c r="E271" s="91" t="n"/>
      <c r="H271" s="91" t="n"/>
      <c r="J271" s="97">
        <f>IF(AND(G271="Planifiée",E271&lt;TODAY(),H271=""),TODAY()-E271,"")</f>
        <v/>
      </c>
    </row>
    <row r="272" ht="15" customHeight="1" s="59">
      <c r="C272" s="98">
        <f>IF(B272="","",IFERROR(VLOOKUP(B272,EQUIPEMENTS!A:B,2,0),""))</f>
        <v/>
      </c>
      <c r="E272" s="91" t="n"/>
      <c r="H272" s="91" t="n"/>
      <c r="J272" s="97">
        <f>IF(AND(G272="Planifiée",E272&lt;TODAY(),H272=""),TODAY()-E272,"")</f>
        <v/>
      </c>
    </row>
    <row r="273" ht="15" customHeight="1" s="59">
      <c r="C273" s="98">
        <f>IF(B273="","",IFERROR(VLOOKUP(B273,EQUIPEMENTS!A:B,2,0),""))</f>
        <v/>
      </c>
      <c r="E273" s="91" t="n"/>
      <c r="H273" s="91" t="n"/>
      <c r="J273" s="97">
        <f>IF(AND(G273="Planifiée",E273&lt;TODAY(),H273=""),TODAY()-E273,"")</f>
        <v/>
      </c>
    </row>
    <row r="274" ht="15" customHeight="1" s="59">
      <c r="C274" s="98">
        <f>IF(B274="","",IFERROR(VLOOKUP(B274,EQUIPEMENTS!A:B,2,0),""))</f>
        <v/>
      </c>
      <c r="E274" s="91" t="n"/>
      <c r="H274" s="91" t="n"/>
      <c r="J274" s="97">
        <f>IF(AND(G274="Planifiée",E274&lt;TODAY(),H274=""),TODAY()-E274,"")</f>
        <v/>
      </c>
    </row>
    <row r="275" ht="15" customHeight="1" s="59">
      <c r="C275" s="98">
        <f>IF(B275="","",IFERROR(VLOOKUP(B275,EQUIPEMENTS!A:B,2,0),""))</f>
        <v/>
      </c>
      <c r="E275" s="91" t="n"/>
      <c r="H275" s="91" t="n"/>
      <c r="J275" s="97">
        <f>IF(AND(G275="Planifiée",E275&lt;TODAY(),H275=""),TODAY()-E275,"")</f>
        <v/>
      </c>
    </row>
    <row r="276" ht="15" customHeight="1" s="59">
      <c r="C276" s="98">
        <f>IF(B276="","",IFERROR(VLOOKUP(B276,EQUIPEMENTS!A:B,2,0),""))</f>
        <v/>
      </c>
      <c r="E276" s="91" t="n"/>
      <c r="H276" s="91" t="n"/>
      <c r="J276" s="97">
        <f>IF(AND(G276="Planifiée",E276&lt;TODAY(),H276=""),TODAY()-E276,"")</f>
        <v/>
      </c>
    </row>
    <row r="277" ht="15" customHeight="1" s="59">
      <c r="C277" s="98">
        <f>IF(B277="","",IFERROR(VLOOKUP(B277,EQUIPEMENTS!A:B,2,0),""))</f>
        <v/>
      </c>
      <c r="E277" s="91" t="n"/>
      <c r="H277" s="91" t="n"/>
      <c r="J277" s="97">
        <f>IF(AND(G277="Planifiée",E277&lt;TODAY(),H277=""),TODAY()-E277,"")</f>
        <v/>
      </c>
    </row>
    <row r="278" ht="15" customHeight="1" s="59">
      <c r="C278" s="98">
        <f>IF(B278="","",IFERROR(VLOOKUP(B278,EQUIPEMENTS!A:B,2,0),""))</f>
        <v/>
      </c>
      <c r="E278" s="91" t="n"/>
      <c r="H278" s="91" t="n"/>
      <c r="J278" s="97">
        <f>IF(AND(G278="Planifiée",E278&lt;TODAY(),H278=""),TODAY()-E278,"")</f>
        <v/>
      </c>
    </row>
    <row r="279" ht="15" customHeight="1" s="59">
      <c r="C279" s="98">
        <f>IF(B279="","",IFERROR(VLOOKUP(B279,EQUIPEMENTS!A:B,2,0),""))</f>
        <v/>
      </c>
      <c r="E279" s="91" t="n"/>
      <c r="H279" s="91" t="n"/>
      <c r="J279" s="97">
        <f>IF(AND(G279="Planifiée",E279&lt;TODAY(),H279=""),TODAY()-E279,"")</f>
        <v/>
      </c>
    </row>
    <row r="280" ht="15" customHeight="1" s="59">
      <c r="C280" s="98">
        <f>IF(B280="","",IFERROR(VLOOKUP(B280,EQUIPEMENTS!A:B,2,0),""))</f>
        <v/>
      </c>
      <c r="E280" s="91" t="n"/>
      <c r="H280" s="91" t="n"/>
      <c r="J280" s="97">
        <f>IF(AND(G280="Planifiée",E280&lt;TODAY(),H280=""),TODAY()-E280,"")</f>
        <v/>
      </c>
    </row>
    <row r="281" ht="15" customHeight="1" s="59">
      <c r="C281" s="98">
        <f>IF(B281="","",IFERROR(VLOOKUP(B281,EQUIPEMENTS!A:B,2,0),""))</f>
        <v/>
      </c>
      <c r="E281" s="91" t="n"/>
      <c r="H281" s="91" t="n"/>
      <c r="J281" s="97">
        <f>IF(AND(G281="Planifiée",E281&lt;TODAY(),H281=""),TODAY()-E281,"")</f>
        <v/>
      </c>
    </row>
    <row r="282" ht="15" customHeight="1" s="59">
      <c r="C282" s="98">
        <f>IF(B282="","",IFERROR(VLOOKUP(B282,EQUIPEMENTS!A:B,2,0),""))</f>
        <v/>
      </c>
      <c r="E282" s="91" t="n"/>
      <c r="H282" s="91" t="n"/>
      <c r="J282" s="97">
        <f>IF(AND(G282="Planifiée",E282&lt;TODAY(),H282=""),TODAY()-E282,"")</f>
        <v/>
      </c>
    </row>
    <row r="283" ht="15" customHeight="1" s="59">
      <c r="C283" s="98">
        <f>IF(B283="","",IFERROR(VLOOKUP(B283,EQUIPEMENTS!A:B,2,0),""))</f>
        <v/>
      </c>
      <c r="E283" s="91" t="n"/>
      <c r="H283" s="91" t="n"/>
      <c r="J283" s="97">
        <f>IF(AND(G283="Planifiée",E283&lt;TODAY(),H283=""),TODAY()-E283,"")</f>
        <v/>
      </c>
    </row>
    <row r="284" ht="15" customHeight="1" s="59">
      <c r="C284" s="98">
        <f>IF(B284="","",IFERROR(VLOOKUP(B284,EQUIPEMENTS!A:B,2,0),""))</f>
        <v/>
      </c>
      <c r="E284" s="91" t="n"/>
      <c r="H284" s="91" t="n"/>
      <c r="J284" s="97">
        <f>IF(AND(G284="Planifiée",E284&lt;TODAY(),H284=""),TODAY()-E284,"")</f>
        <v/>
      </c>
    </row>
    <row r="285" ht="15" customHeight="1" s="59">
      <c r="C285" s="98">
        <f>IF(B285="","",IFERROR(VLOOKUP(B285,EQUIPEMENTS!A:B,2,0),""))</f>
        <v/>
      </c>
      <c r="E285" s="91" t="n"/>
      <c r="H285" s="91" t="n"/>
      <c r="J285" s="97">
        <f>IF(AND(G285="Planifiée",E285&lt;TODAY(),H285=""),TODAY()-E285,"")</f>
        <v/>
      </c>
    </row>
    <row r="286" ht="15" customHeight="1" s="59">
      <c r="C286" s="98">
        <f>IF(B286="","",IFERROR(VLOOKUP(B286,EQUIPEMENTS!A:B,2,0),""))</f>
        <v/>
      </c>
      <c r="E286" s="91" t="n"/>
      <c r="H286" s="91" t="n"/>
      <c r="J286" s="97">
        <f>IF(AND(G286="Planifiée",E286&lt;TODAY(),H286=""),TODAY()-E286,"")</f>
        <v/>
      </c>
    </row>
    <row r="287" ht="15" customHeight="1" s="59">
      <c r="C287" s="98">
        <f>IF(B287="","",IFERROR(VLOOKUP(B287,EQUIPEMENTS!A:B,2,0),""))</f>
        <v/>
      </c>
      <c r="E287" s="91" t="n"/>
      <c r="H287" s="91" t="n"/>
      <c r="J287" s="97">
        <f>IF(AND(G287="Planifiée",E287&lt;TODAY(),H287=""),TODAY()-E287,"")</f>
        <v/>
      </c>
    </row>
    <row r="288" ht="15" customHeight="1" s="59">
      <c r="C288" s="98">
        <f>IF(B288="","",IFERROR(VLOOKUP(B288,EQUIPEMENTS!A:B,2,0),""))</f>
        <v/>
      </c>
      <c r="E288" s="91" t="n"/>
      <c r="H288" s="91" t="n"/>
      <c r="J288" s="97">
        <f>IF(AND(G288="Planifiée",E288&lt;TODAY(),H288=""),TODAY()-E288,"")</f>
        <v/>
      </c>
    </row>
    <row r="289" ht="15" customHeight="1" s="59">
      <c r="C289" s="98">
        <f>IF(B289="","",IFERROR(VLOOKUP(B289,EQUIPEMENTS!A:B,2,0),""))</f>
        <v/>
      </c>
      <c r="E289" s="91" t="n"/>
      <c r="H289" s="91" t="n"/>
      <c r="J289" s="97">
        <f>IF(AND(G289="Planifiée",E289&lt;TODAY(),H289=""),TODAY()-E289,"")</f>
        <v/>
      </c>
    </row>
    <row r="290" ht="15" customHeight="1" s="59">
      <c r="C290" s="98">
        <f>IF(B290="","",IFERROR(VLOOKUP(B290,EQUIPEMENTS!A:B,2,0),""))</f>
        <v/>
      </c>
      <c r="E290" s="91" t="n"/>
      <c r="H290" s="91" t="n"/>
      <c r="J290" s="97">
        <f>IF(AND(G290="Planifiée",E290&lt;TODAY(),H290=""),TODAY()-E290,"")</f>
        <v/>
      </c>
    </row>
    <row r="291" ht="15" customHeight="1" s="59">
      <c r="C291" s="98">
        <f>IF(B291="","",IFERROR(VLOOKUP(B291,EQUIPEMENTS!A:B,2,0),""))</f>
        <v/>
      </c>
      <c r="E291" s="91" t="n"/>
      <c r="H291" s="91" t="n"/>
      <c r="J291" s="97">
        <f>IF(AND(G291="Planifiée",E291&lt;TODAY(),H291=""),TODAY()-E291,"")</f>
        <v/>
      </c>
    </row>
    <row r="292" ht="15" customHeight="1" s="59">
      <c r="C292" s="98">
        <f>IF(B292="","",IFERROR(VLOOKUP(B292,EQUIPEMENTS!A:B,2,0),""))</f>
        <v/>
      </c>
      <c r="E292" s="91" t="n"/>
      <c r="H292" s="91" t="n"/>
      <c r="J292" s="97">
        <f>IF(AND(G292="Planifiée",E292&lt;TODAY(),H292=""),TODAY()-E292,"")</f>
        <v/>
      </c>
    </row>
    <row r="293" ht="15" customHeight="1" s="59">
      <c r="C293" s="98">
        <f>IF(B293="","",IFERROR(VLOOKUP(B293,EQUIPEMENTS!A:B,2,0),""))</f>
        <v/>
      </c>
      <c r="E293" s="91" t="n"/>
      <c r="H293" s="91" t="n"/>
      <c r="J293" s="97">
        <f>IF(AND(G293="Planifiée",E293&lt;TODAY(),H293=""),TODAY()-E293,"")</f>
        <v/>
      </c>
    </row>
    <row r="294" ht="15" customHeight="1" s="59">
      <c r="C294" s="98">
        <f>IF(B294="","",IFERROR(VLOOKUP(B294,EQUIPEMENTS!A:B,2,0),""))</f>
        <v/>
      </c>
      <c r="E294" s="91" t="n"/>
      <c r="H294" s="91" t="n"/>
      <c r="J294" s="97">
        <f>IF(AND(G294="Planifiée",E294&lt;TODAY(),H294=""),TODAY()-E294,"")</f>
        <v/>
      </c>
    </row>
    <row r="295" ht="15" customHeight="1" s="59">
      <c r="C295" s="98">
        <f>IF(B295="","",IFERROR(VLOOKUP(B295,EQUIPEMENTS!A:B,2,0),""))</f>
        <v/>
      </c>
      <c r="E295" s="91" t="n"/>
      <c r="H295" s="91" t="n"/>
      <c r="J295" s="97">
        <f>IF(AND(G295="Planifiée",E295&lt;TODAY(),H295=""),TODAY()-E295,"")</f>
        <v/>
      </c>
    </row>
    <row r="296" ht="15" customHeight="1" s="59">
      <c r="C296" s="98">
        <f>IF(B296="","",IFERROR(VLOOKUP(B296,EQUIPEMENTS!A:B,2,0),""))</f>
        <v/>
      </c>
      <c r="E296" s="91" t="n"/>
      <c r="H296" s="91" t="n"/>
      <c r="J296" s="97">
        <f>IF(AND(G296="Planifiée",E296&lt;TODAY(),H296=""),TODAY()-E296,"")</f>
        <v/>
      </c>
    </row>
    <row r="297" ht="15" customHeight="1" s="59">
      <c r="C297" s="98">
        <f>IF(B297="","",IFERROR(VLOOKUP(B297,EQUIPEMENTS!A:B,2,0),""))</f>
        <v/>
      </c>
      <c r="E297" s="91" t="n"/>
      <c r="H297" s="91" t="n"/>
      <c r="J297" s="97">
        <f>IF(AND(G297="Planifiée",E297&lt;TODAY(),H297=""),TODAY()-E297,"")</f>
        <v/>
      </c>
    </row>
    <row r="298" ht="15" customHeight="1" s="59">
      <c r="C298" s="98">
        <f>IF(B298="","",IFERROR(VLOOKUP(B298,EQUIPEMENTS!A:B,2,0),""))</f>
        <v/>
      </c>
      <c r="E298" s="91" t="n"/>
      <c r="H298" s="91" t="n"/>
      <c r="J298" s="97">
        <f>IF(AND(G298="Planifiée",E298&lt;TODAY(),H298=""),TODAY()-E298,"")</f>
        <v/>
      </c>
    </row>
    <row r="299" ht="15" customHeight="1" s="59">
      <c r="C299" s="98">
        <f>IF(B299="","",IFERROR(VLOOKUP(B299,EQUIPEMENTS!A:B,2,0),""))</f>
        <v/>
      </c>
      <c r="E299" s="91" t="n"/>
      <c r="H299" s="91" t="n"/>
      <c r="J299" s="97">
        <f>IF(AND(G299="Planifiée",E299&lt;TODAY(),H299=""),TODAY()-E299,"")</f>
        <v/>
      </c>
    </row>
    <row r="300" ht="15" customHeight="1" s="59">
      <c r="C300" s="98">
        <f>IF(B300="","",IFERROR(VLOOKUP(B300,EQUIPEMENTS!A:B,2,0),""))</f>
        <v/>
      </c>
      <c r="E300" s="91" t="n"/>
      <c r="H300" s="91" t="n"/>
      <c r="J300" s="97">
        <f>IF(AND(G300="Planifiée",E300&lt;TODAY(),H300=""),TODAY()-E300,"")</f>
        <v/>
      </c>
    </row>
    <row r="301" ht="15" customHeight="1" s="59">
      <c r="C301" s="98">
        <f>IF(B301="","",IFERROR(VLOOKUP(B301,EQUIPEMENTS!A:B,2,0),""))</f>
        <v/>
      </c>
      <c r="E301" s="91" t="n"/>
      <c r="H301" s="91" t="n"/>
      <c r="J301" s="97">
        <f>IF(AND(G301="Planifiée",E301&lt;TODAY(),H301=""),TODAY()-E301,"")</f>
        <v/>
      </c>
    </row>
    <row r="302" ht="15" customHeight="1" s="59">
      <c r="C302" s="98">
        <f>IF(B302="","",IFERROR(VLOOKUP(B302,EQUIPEMENTS!A:B,2,0),""))</f>
        <v/>
      </c>
      <c r="E302" s="91" t="n"/>
      <c r="H302" s="91" t="n"/>
      <c r="J302" s="97">
        <f>IF(AND(G302="Planifiée",E302&lt;TODAY(),H302=""),TODAY()-E302,"")</f>
        <v/>
      </c>
    </row>
    <row r="303" ht="15" customHeight="1" s="59">
      <c r="C303" s="98">
        <f>IF(B303="","",IFERROR(VLOOKUP(B303,EQUIPEMENTS!A:B,2,0),""))</f>
        <v/>
      </c>
      <c r="E303" s="91" t="n"/>
      <c r="H303" s="91" t="n"/>
      <c r="J303" s="97">
        <f>IF(AND(G303="Planifiée",E303&lt;TODAY(),H303=""),TODAY()-E303,"")</f>
        <v/>
      </c>
    </row>
    <row r="304" ht="15" customHeight="1" s="59">
      <c r="C304" s="98">
        <f>IF(B304="","",IFERROR(VLOOKUP(B304,EQUIPEMENTS!A:B,2,0),""))</f>
        <v/>
      </c>
      <c r="E304" s="91" t="n"/>
      <c r="H304" s="91" t="n"/>
      <c r="J304" s="97">
        <f>IF(AND(G304="Planifiée",E304&lt;TODAY(),H304=""),TODAY()-E304,"")</f>
        <v/>
      </c>
    </row>
    <row r="305" ht="15" customHeight="1" s="59">
      <c r="C305" s="98">
        <f>IF(B305="","",IFERROR(VLOOKUP(B305,EQUIPEMENTS!A:B,2,0),""))</f>
        <v/>
      </c>
      <c r="E305" s="91" t="n"/>
      <c r="H305" s="91" t="n"/>
      <c r="J305" s="97">
        <f>IF(AND(G305="Planifiée",E305&lt;TODAY(),H305=""),TODAY()-E305,"")</f>
        <v/>
      </c>
    </row>
    <row r="306" ht="15" customHeight="1" s="59">
      <c r="C306" s="98">
        <f>IF(B306="","",IFERROR(VLOOKUP(B306,EQUIPEMENTS!A:B,2,0),""))</f>
        <v/>
      </c>
      <c r="E306" s="91" t="n"/>
      <c r="H306" s="91" t="n"/>
      <c r="J306" s="97">
        <f>IF(AND(G306="Planifiée",E306&lt;TODAY(),H306=""),TODAY()-E306,"")</f>
        <v/>
      </c>
    </row>
    <row r="307" ht="15" customHeight="1" s="59">
      <c r="C307" s="98">
        <f>IF(B307="","",IFERROR(VLOOKUP(B307,EQUIPEMENTS!A:B,2,0),""))</f>
        <v/>
      </c>
      <c r="E307" s="91" t="n"/>
      <c r="H307" s="91" t="n"/>
      <c r="J307" s="97">
        <f>IF(AND(G307="Planifiée",E307&lt;TODAY(),H307=""),TODAY()-E307,"")</f>
        <v/>
      </c>
    </row>
    <row r="308" ht="15" customHeight="1" s="59">
      <c r="C308" s="98">
        <f>IF(B308="","",IFERROR(VLOOKUP(B308,EQUIPEMENTS!A:B,2,0),""))</f>
        <v/>
      </c>
      <c r="E308" s="91" t="n"/>
      <c r="H308" s="91" t="n"/>
      <c r="J308" s="97">
        <f>IF(AND(G308="Planifiée",E308&lt;TODAY(),H308=""),TODAY()-E308,"")</f>
        <v/>
      </c>
    </row>
    <row r="309" ht="15" customHeight="1" s="59">
      <c r="C309" s="98">
        <f>IF(B309="","",IFERROR(VLOOKUP(B309,EQUIPEMENTS!A:B,2,0),""))</f>
        <v/>
      </c>
      <c r="E309" s="91" t="n"/>
      <c r="H309" s="91" t="n"/>
      <c r="J309" s="97">
        <f>IF(AND(G309="Planifiée",E309&lt;TODAY(),H309=""),TODAY()-E309,"")</f>
        <v/>
      </c>
    </row>
    <row r="310" ht="15" customHeight="1" s="59">
      <c r="C310" s="98">
        <f>IF(B310="","",IFERROR(VLOOKUP(B310,EQUIPEMENTS!A:B,2,0),""))</f>
        <v/>
      </c>
      <c r="E310" s="91" t="n"/>
      <c r="H310" s="91" t="n"/>
      <c r="J310" s="97">
        <f>IF(AND(G310="Planifiée",E310&lt;TODAY(),H310=""),TODAY()-E310,"")</f>
        <v/>
      </c>
    </row>
    <row r="311" ht="15" customHeight="1" s="59">
      <c r="C311" s="98">
        <f>IF(B311="","",IFERROR(VLOOKUP(B311,EQUIPEMENTS!A:B,2,0),""))</f>
        <v/>
      </c>
      <c r="E311" s="91" t="n"/>
      <c r="H311" s="91" t="n"/>
      <c r="J311" s="97">
        <f>IF(AND(G311="Planifiée",E311&lt;TODAY(),H311=""),TODAY()-E311,"")</f>
        <v/>
      </c>
    </row>
    <row r="312" ht="15" customHeight="1" s="59">
      <c r="C312" s="98">
        <f>IF(B312="","",IFERROR(VLOOKUP(B312,EQUIPEMENTS!A:B,2,0),""))</f>
        <v/>
      </c>
      <c r="E312" s="91" t="n"/>
      <c r="H312" s="91" t="n"/>
      <c r="J312" s="97">
        <f>IF(AND(G312="Planifiée",E312&lt;TODAY(),H312=""),TODAY()-E312,"")</f>
        <v/>
      </c>
    </row>
    <row r="313" ht="15" customHeight="1" s="59">
      <c r="C313" s="98">
        <f>IF(B313="","",IFERROR(VLOOKUP(B313,EQUIPEMENTS!A:B,2,0),""))</f>
        <v/>
      </c>
      <c r="E313" s="91" t="n"/>
      <c r="H313" s="91" t="n"/>
      <c r="J313" s="97">
        <f>IF(AND(G313="Planifiée",E313&lt;TODAY(),H313=""),TODAY()-E313,"")</f>
        <v/>
      </c>
    </row>
    <row r="314" ht="15" customHeight="1" s="59">
      <c r="C314" s="98">
        <f>IF(B314="","",IFERROR(VLOOKUP(B314,EQUIPEMENTS!A:B,2,0),""))</f>
        <v/>
      </c>
      <c r="E314" s="91" t="n"/>
      <c r="H314" s="91" t="n"/>
      <c r="J314" s="97">
        <f>IF(AND(G314="Planifiée",E314&lt;TODAY(),H314=""),TODAY()-E314,"")</f>
        <v/>
      </c>
    </row>
    <row r="315" ht="15" customHeight="1" s="59">
      <c r="C315" s="98">
        <f>IF(B315="","",IFERROR(VLOOKUP(B315,EQUIPEMENTS!A:B,2,0),""))</f>
        <v/>
      </c>
      <c r="E315" s="91" t="n"/>
      <c r="H315" s="91" t="n"/>
      <c r="J315" s="97">
        <f>IF(AND(G315="Planifiée",E315&lt;TODAY(),H315=""),TODAY()-E315,"")</f>
        <v/>
      </c>
    </row>
    <row r="316" ht="15" customHeight="1" s="59">
      <c r="C316" s="98">
        <f>IF(B316="","",IFERROR(VLOOKUP(B316,EQUIPEMENTS!A:B,2,0),""))</f>
        <v/>
      </c>
      <c r="E316" s="91" t="n"/>
      <c r="H316" s="91" t="n"/>
      <c r="J316" s="97">
        <f>IF(AND(G316="Planifiée",E316&lt;TODAY(),H316=""),TODAY()-E316,"")</f>
        <v/>
      </c>
    </row>
    <row r="317" ht="15" customHeight="1" s="59">
      <c r="C317" s="98">
        <f>IF(B317="","",IFERROR(VLOOKUP(B317,EQUIPEMENTS!A:B,2,0),""))</f>
        <v/>
      </c>
      <c r="E317" s="91" t="n"/>
      <c r="H317" s="91" t="n"/>
      <c r="J317" s="97">
        <f>IF(AND(G317="Planifiée",E317&lt;TODAY(),H317=""),TODAY()-E317,"")</f>
        <v/>
      </c>
    </row>
    <row r="318" ht="15" customHeight="1" s="59">
      <c r="C318" s="98">
        <f>IF(B318="","",IFERROR(VLOOKUP(B318,EQUIPEMENTS!A:B,2,0),""))</f>
        <v/>
      </c>
      <c r="E318" s="91" t="n"/>
      <c r="H318" s="91" t="n"/>
      <c r="J318" s="97">
        <f>IF(AND(G318="Planifiée",E318&lt;TODAY(),H318=""),TODAY()-E318,"")</f>
        <v/>
      </c>
    </row>
    <row r="319" ht="15" customHeight="1" s="59">
      <c r="C319" s="98">
        <f>IF(B319="","",IFERROR(VLOOKUP(B319,EQUIPEMENTS!A:B,2,0),""))</f>
        <v/>
      </c>
      <c r="E319" s="91" t="n"/>
      <c r="H319" s="91" t="n"/>
      <c r="J319" s="97">
        <f>IF(AND(G319="Planifiée",E319&lt;TODAY(),H319=""),TODAY()-E319,"")</f>
        <v/>
      </c>
    </row>
    <row r="320" ht="15" customHeight="1" s="59">
      <c r="C320" s="98">
        <f>IF(B320="","",IFERROR(VLOOKUP(B320,EQUIPEMENTS!A:B,2,0),""))</f>
        <v/>
      </c>
      <c r="E320" s="91" t="n"/>
      <c r="H320" s="91" t="n"/>
      <c r="J320" s="97">
        <f>IF(AND(G320="Planifiée",E320&lt;TODAY(),H320=""),TODAY()-E320,"")</f>
        <v/>
      </c>
    </row>
    <row r="321" ht="15" customHeight="1" s="59">
      <c r="C321" s="98">
        <f>IF(B321="","",IFERROR(VLOOKUP(B321,EQUIPEMENTS!A:B,2,0),""))</f>
        <v/>
      </c>
      <c r="E321" s="91" t="n"/>
      <c r="H321" s="91" t="n"/>
      <c r="J321" s="97">
        <f>IF(AND(G321="Planifiée",E321&lt;TODAY(),H321=""),TODAY()-E321,"")</f>
        <v/>
      </c>
    </row>
    <row r="322" ht="15" customHeight="1" s="59">
      <c r="C322" s="98">
        <f>IF(B322="","",IFERROR(VLOOKUP(B322,EQUIPEMENTS!A:B,2,0),""))</f>
        <v/>
      </c>
      <c r="E322" s="91" t="n"/>
      <c r="H322" s="91" t="n"/>
      <c r="J322" s="97">
        <f>IF(AND(G322="Planifiée",E322&lt;TODAY(),H322=""),TODAY()-E322,"")</f>
        <v/>
      </c>
    </row>
    <row r="323" ht="15" customHeight="1" s="59">
      <c r="C323" s="98">
        <f>IF(B323="","",IFERROR(VLOOKUP(B323,EQUIPEMENTS!A:B,2,0),""))</f>
        <v/>
      </c>
      <c r="E323" s="91" t="n"/>
      <c r="H323" s="91" t="n"/>
      <c r="J323" s="97">
        <f>IF(AND(G323="Planifiée",E323&lt;TODAY(),H323=""),TODAY()-E323,"")</f>
        <v/>
      </c>
    </row>
    <row r="324" ht="15" customHeight="1" s="59">
      <c r="C324" s="98">
        <f>IF(B324="","",IFERROR(VLOOKUP(B324,EQUIPEMENTS!A:B,2,0),""))</f>
        <v/>
      </c>
      <c r="E324" s="91" t="n"/>
      <c r="H324" s="91" t="n"/>
      <c r="J324" s="97">
        <f>IF(AND(G324="Planifiée",E324&lt;TODAY(),H324=""),TODAY()-E324,"")</f>
        <v/>
      </c>
    </row>
    <row r="325" ht="15" customHeight="1" s="59">
      <c r="C325" s="98">
        <f>IF(B325="","",IFERROR(VLOOKUP(B325,EQUIPEMENTS!A:B,2,0),""))</f>
        <v/>
      </c>
      <c r="E325" s="91" t="n"/>
      <c r="H325" s="91" t="n"/>
      <c r="J325" s="97">
        <f>IF(AND(G325="Planifiée",E325&lt;TODAY(),H325=""),TODAY()-E325,"")</f>
        <v/>
      </c>
    </row>
    <row r="326" ht="15" customHeight="1" s="59">
      <c r="C326" s="98">
        <f>IF(B326="","",IFERROR(VLOOKUP(B326,EQUIPEMENTS!A:B,2,0),""))</f>
        <v/>
      </c>
      <c r="E326" s="91" t="n"/>
      <c r="H326" s="91" t="n"/>
      <c r="J326" s="97">
        <f>IF(AND(G326="Planifiée",E326&lt;TODAY(),H326=""),TODAY()-E326,"")</f>
        <v/>
      </c>
    </row>
    <row r="327" ht="15" customHeight="1" s="59">
      <c r="C327" s="98">
        <f>IF(B327="","",IFERROR(VLOOKUP(B327,EQUIPEMENTS!A:B,2,0),""))</f>
        <v/>
      </c>
      <c r="E327" s="91" t="n"/>
      <c r="H327" s="91" t="n"/>
      <c r="J327" s="97">
        <f>IF(AND(G327="Planifiée",E327&lt;TODAY(),H327=""),TODAY()-E327,"")</f>
        <v/>
      </c>
    </row>
    <row r="328" ht="15" customHeight="1" s="59">
      <c r="C328" s="98">
        <f>IF(B328="","",IFERROR(VLOOKUP(B328,EQUIPEMENTS!A:B,2,0),""))</f>
        <v/>
      </c>
      <c r="E328" s="91" t="n"/>
      <c r="H328" s="91" t="n"/>
      <c r="J328" s="97">
        <f>IF(AND(G328="Planifiée",E328&lt;TODAY(),H328=""),TODAY()-E328,"")</f>
        <v/>
      </c>
    </row>
    <row r="329" ht="15" customHeight="1" s="59">
      <c r="C329" s="98">
        <f>IF(B329="","",IFERROR(VLOOKUP(B329,EQUIPEMENTS!A:B,2,0),""))</f>
        <v/>
      </c>
      <c r="E329" s="91" t="n"/>
      <c r="H329" s="91" t="n"/>
      <c r="J329" s="97">
        <f>IF(AND(G329="Planifiée",E329&lt;TODAY(),H329=""),TODAY()-E329,"")</f>
        <v/>
      </c>
    </row>
    <row r="330" ht="15" customHeight="1" s="59">
      <c r="C330" s="98">
        <f>IF(B330="","",IFERROR(VLOOKUP(B330,EQUIPEMENTS!A:B,2,0),""))</f>
        <v/>
      </c>
      <c r="E330" s="91" t="n"/>
      <c r="H330" s="91" t="n"/>
      <c r="J330" s="97">
        <f>IF(AND(G330="Planifiée",E330&lt;TODAY(),H330=""),TODAY()-E330,"")</f>
        <v/>
      </c>
    </row>
    <row r="331" ht="15" customHeight="1" s="59">
      <c r="C331" s="98">
        <f>IF(B331="","",IFERROR(VLOOKUP(B331,EQUIPEMENTS!A:B,2,0),""))</f>
        <v/>
      </c>
      <c r="E331" s="91" t="n"/>
      <c r="H331" s="91" t="n"/>
      <c r="J331" s="97">
        <f>IF(AND(G331="Planifiée",E331&lt;TODAY(),H331=""),TODAY()-E331,"")</f>
        <v/>
      </c>
    </row>
    <row r="332" ht="15" customHeight="1" s="59">
      <c r="C332" s="98">
        <f>IF(B332="","",IFERROR(VLOOKUP(B332,EQUIPEMENTS!A:B,2,0),""))</f>
        <v/>
      </c>
      <c r="E332" s="91" t="n"/>
      <c r="H332" s="91" t="n"/>
      <c r="J332" s="97">
        <f>IF(AND(G332="Planifiée",E332&lt;TODAY(),H332=""),TODAY()-E332,"")</f>
        <v/>
      </c>
    </row>
    <row r="333" ht="15" customHeight="1" s="59">
      <c r="C333" s="98">
        <f>IF(B333="","",IFERROR(VLOOKUP(B333,EQUIPEMENTS!A:B,2,0),""))</f>
        <v/>
      </c>
      <c r="E333" s="91" t="n"/>
      <c r="H333" s="91" t="n"/>
      <c r="J333" s="97">
        <f>IF(AND(G333="Planifiée",E333&lt;TODAY(),H333=""),TODAY()-E333,"")</f>
        <v/>
      </c>
    </row>
    <row r="334" ht="15" customHeight="1" s="59">
      <c r="C334" s="98">
        <f>IF(B334="","",IFERROR(VLOOKUP(B334,EQUIPEMENTS!A:B,2,0),""))</f>
        <v/>
      </c>
      <c r="E334" s="91" t="n"/>
      <c r="H334" s="91" t="n"/>
      <c r="J334" s="97">
        <f>IF(AND(G334="Planifiée",E334&lt;TODAY(),H334=""),TODAY()-E334,"")</f>
        <v/>
      </c>
    </row>
    <row r="335" ht="15" customHeight="1" s="59">
      <c r="C335" s="98">
        <f>IF(B335="","",IFERROR(VLOOKUP(B335,EQUIPEMENTS!A:B,2,0),""))</f>
        <v/>
      </c>
      <c r="E335" s="91" t="n"/>
      <c r="H335" s="91" t="n"/>
      <c r="J335" s="97">
        <f>IF(AND(G335="Planifiée",E335&lt;TODAY(),H335=""),TODAY()-E335,"")</f>
        <v/>
      </c>
    </row>
    <row r="336" ht="15" customHeight="1" s="59">
      <c r="C336" s="98">
        <f>IF(B336="","",IFERROR(VLOOKUP(B336,EQUIPEMENTS!A:B,2,0),""))</f>
        <v/>
      </c>
      <c r="E336" s="91" t="n"/>
      <c r="H336" s="91" t="n"/>
      <c r="J336" s="97">
        <f>IF(AND(G336="Planifiée",E336&lt;TODAY(),H336=""),TODAY()-E336,"")</f>
        <v/>
      </c>
    </row>
    <row r="337" ht="15" customHeight="1" s="59">
      <c r="C337" s="98">
        <f>IF(B337="","",IFERROR(VLOOKUP(B337,EQUIPEMENTS!A:B,2,0),""))</f>
        <v/>
      </c>
      <c r="E337" s="91" t="n"/>
      <c r="H337" s="91" t="n"/>
      <c r="J337" s="97">
        <f>IF(AND(G337="Planifiée",E337&lt;TODAY(),H337=""),TODAY()-E337,"")</f>
        <v/>
      </c>
    </row>
    <row r="338" ht="15" customHeight="1" s="59">
      <c r="C338" s="98">
        <f>IF(B338="","",IFERROR(VLOOKUP(B338,EQUIPEMENTS!A:B,2,0),""))</f>
        <v/>
      </c>
      <c r="E338" s="91" t="n"/>
      <c r="H338" s="91" t="n"/>
      <c r="J338" s="97">
        <f>IF(AND(G338="Planifiée",E338&lt;TODAY(),H338=""),TODAY()-E338,"")</f>
        <v/>
      </c>
    </row>
    <row r="339" ht="15" customHeight="1" s="59">
      <c r="C339" s="98">
        <f>IF(B339="","",IFERROR(VLOOKUP(B339,EQUIPEMENTS!A:B,2,0),""))</f>
        <v/>
      </c>
      <c r="E339" s="91" t="n"/>
      <c r="H339" s="91" t="n"/>
      <c r="J339" s="97">
        <f>IF(AND(G339="Planifiée",E339&lt;TODAY(),H339=""),TODAY()-E339,"")</f>
        <v/>
      </c>
    </row>
    <row r="340" ht="15" customHeight="1" s="59">
      <c r="C340" s="98">
        <f>IF(B340="","",IFERROR(VLOOKUP(B340,EQUIPEMENTS!A:B,2,0),""))</f>
        <v/>
      </c>
      <c r="E340" s="91" t="n"/>
      <c r="H340" s="91" t="n"/>
      <c r="J340" s="97">
        <f>IF(AND(G340="Planifiée",E340&lt;TODAY(),H340=""),TODAY()-E340,"")</f>
        <v/>
      </c>
    </row>
    <row r="341" ht="15" customHeight="1" s="59">
      <c r="C341" s="98">
        <f>IF(B341="","",IFERROR(VLOOKUP(B341,EQUIPEMENTS!A:B,2,0),""))</f>
        <v/>
      </c>
      <c r="E341" s="91" t="n"/>
      <c r="H341" s="91" t="n"/>
      <c r="J341" s="97">
        <f>IF(AND(G341="Planifiée",E341&lt;TODAY(),H341=""),TODAY()-E341,"")</f>
        <v/>
      </c>
    </row>
    <row r="342" ht="15" customHeight="1" s="59">
      <c r="C342" s="98">
        <f>IF(B342="","",IFERROR(VLOOKUP(B342,EQUIPEMENTS!A:B,2,0),""))</f>
        <v/>
      </c>
      <c r="E342" s="91" t="n"/>
      <c r="H342" s="91" t="n"/>
      <c r="J342" s="97">
        <f>IF(AND(G342="Planifiée",E342&lt;TODAY(),H342=""),TODAY()-E342,"")</f>
        <v/>
      </c>
    </row>
    <row r="343" ht="15" customHeight="1" s="59">
      <c r="C343" s="98">
        <f>IF(B343="","",IFERROR(VLOOKUP(B343,EQUIPEMENTS!A:B,2,0),""))</f>
        <v/>
      </c>
      <c r="E343" s="91" t="n"/>
      <c r="H343" s="91" t="n"/>
      <c r="J343" s="97">
        <f>IF(AND(G343="Planifiée",E343&lt;TODAY(),H343=""),TODAY()-E343,"")</f>
        <v/>
      </c>
    </row>
    <row r="344" ht="15" customHeight="1" s="59">
      <c r="C344" s="98">
        <f>IF(B344="","",IFERROR(VLOOKUP(B344,EQUIPEMENTS!A:B,2,0),""))</f>
        <v/>
      </c>
      <c r="E344" s="91" t="n"/>
      <c r="H344" s="91" t="n"/>
      <c r="J344" s="97">
        <f>IF(AND(G344="Planifiée",E344&lt;TODAY(),H344=""),TODAY()-E344,"")</f>
        <v/>
      </c>
    </row>
    <row r="345" ht="15" customHeight="1" s="59">
      <c r="C345" s="98">
        <f>IF(B345="","",IFERROR(VLOOKUP(B345,EQUIPEMENTS!A:B,2,0),""))</f>
        <v/>
      </c>
      <c r="E345" s="91" t="n"/>
      <c r="H345" s="91" t="n"/>
      <c r="J345" s="97">
        <f>IF(AND(G345="Planifiée",E345&lt;TODAY(),H345=""),TODAY()-E345,"")</f>
        <v/>
      </c>
    </row>
    <row r="346" ht="15" customHeight="1" s="59">
      <c r="C346" s="98">
        <f>IF(B346="","",IFERROR(VLOOKUP(B346,EQUIPEMENTS!A:B,2,0),""))</f>
        <v/>
      </c>
      <c r="E346" s="91" t="n"/>
      <c r="H346" s="91" t="n"/>
      <c r="J346" s="97">
        <f>IF(AND(G346="Planifiée",E346&lt;TODAY(),H346=""),TODAY()-E346,"")</f>
        <v/>
      </c>
    </row>
    <row r="347" ht="15" customHeight="1" s="59">
      <c r="C347" s="98">
        <f>IF(B347="","",IFERROR(VLOOKUP(B347,EQUIPEMENTS!A:B,2,0),""))</f>
        <v/>
      </c>
      <c r="E347" s="91" t="n"/>
      <c r="H347" s="91" t="n"/>
      <c r="J347" s="97">
        <f>IF(AND(G347="Planifiée",E347&lt;TODAY(),H347=""),TODAY()-E347,"")</f>
        <v/>
      </c>
    </row>
    <row r="348" ht="15" customHeight="1" s="59">
      <c r="C348" s="98">
        <f>IF(B348="","",IFERROR(VLOOKUP(B348,EQUIPEMENTS!A:B,2,0),""))</f>
        <v/>
      </c>
      <c r="E348" s="91" t="n"/>
      <c r="H348" s="91" t="n"/>
      <c r="J348" s="97">
        <f>IF(AND(G348="Planifiée",E348&lt;TODAY(),H348=""),TODAY()-E348,"")</f>
        <v/>
      </c>
    </row>
    <row r="349" ht="15" customHeight="1" s="59">
      <c r="C349" s="98">
        <f>IF(B349="","",IFERROR(VLOOKUP(B349,EQUIPEMENTS!A:B,2,0),""))</f>
        <v/>
      </c>
      <c r="E349" s="91" t="n"/>
      <c r="H349" s="91" t="n"/>
      <c r="J349" s="97">
        <f>IF(AND(G349="Planifiée",E349&lt;TODAY(),H349=""),TODAY()-E349,"")</f>
        <v/>
      </c>
    </row>
    <row r="350" ht="15" customHeight="1" s="59">
      <c r="C350" s="98">
        <f>IF(B350="","",IFERROR(VLOOKUP(B350,EQUIPEMENTS!A:B,2,0),""))</f>
        <v/>
      </c>
      <c r="E350" s="91" t="n"/>
      <c r="H350" s="91" t="n"/>
      <c r="J350" s="97">
        <f>IF(AND(G350="Planifiée",E350&lt;TODAY(),H350=""),TODAY()-E350,"")</f>
        <v/>
      </c>
    </row>
    <row r="351" ht="15" customHeight="1" s="59">
      <c r="C351" s="98">
        <f>IF(B351="","",IFERROR(VLOOKUP(B351,EQUIPEMENTS!A:B,2,0),""))</f>
        <v/>
      </c>
      <c r="E351" s="91" t="n"/>
      <c r="H351" s="91" t="n"/>
      <c r="J351" s="97">
        <f>IF(AND(G351="Planifiée",E351&lt;TODAY(),H351=""),TODAY()-E351,"")</f>
        <v/>
      </c>
    </row>
    <row r="352" ht="15" customHeight="1" s="59">
      <c r="C352" s="98">
        <f>IF(B352="","",IFERROR(VLOOKUP(B352,EQUIPEMENTS!A:B,2,0),""))</f>
        <v/>
      </c>
      <c r="E352" s="91" t="n"/>
      <c r="H352" s="91" t="n"/>
      <c r="J352" s="97">
        <f>IF(AND(G352="Planifiée",E352&lt;TODAY(),H352=""),TODAY()-E352,"")</f>
        <v/>
      </c>
    </row>
    <row r="353" ht="15" customHeight="1" s="59">
      <c r="C353" s="98">
        <f>IF(B353="","",IFERROR(VLOOKUP(B353,EQUIPEMENTS!A:B,2,0),""))</f>
        <v/>
      </c>
      <c r="E353" s="91" t="n"/>
      <c r="H353" s="91" t="n"/>
      <c r="J353" s="97">
        <f>IF(AND(G353="Planifiée",E353&lt;TODAY(),H353=""),TODAY()-E353,"")</f>
        <v/>
      </c>
    </row>
    <row r="354" ht="15" customHeight="1" s="59">
      <c r="C354" s="98">
        <f>IF(B354="","",IFERROR(VLOOKUP(B354,EQUIPEMENTS!A:B,2,0),""))</f>
        <v/>
      </c>
      <c r="E354" s="91" t="n"/>
      <c r="H354" s="91" t="n"/>
      <c r="J354" s="97">
        <f>IF(AND(G354="Planifiée",E354&lt;TODAY(),H354=""),TODAY()-E354,"")</f>
        <v/>
      </c>
    </row>
    <row r="355" ht="15" customHeight="1" s="59">
      <c r="C355" s="98">
        <f>IF(B355="","",IFERROR(VLOOKUP(B355,EQUIPEMENTS!A:B,2,0),""))</f>
        <v/>
      </c>
      <c r="E355" s="91" t="n"/>
      <c r="H355" s="91" t="n"/>
      <c r="J355" s="97">
        <f>IF(AND(G355="Planifiée",E355&lt;TODAY(),H355=""),TODAY()-E355,"")</f>
        <v/>
      </c>
    </row>
    <row r="356" ht="15" customHeight="1" s="59">
      <c r="C356" s="98">
        <f>IF(B356="","",IFERROR(VLOOKUP(B356,EQUIPEMENTS!A:B,2,0),""))</f>
        <v/>
      </c>
      <c r="E356" s="91" t="n"/>
      <c r="H356" s="91" t="n"/>
      <c r="J356" s="97">
        <f>IF(AND(G356="Planifiée",E356&lt;TODAY(),H356=""),TODAY()-E356,"")</f>
        <v/>
      </c>
    </row>
    <row r="357" ht="15" customHeight="1" s="59">
      <c r="C357" s="98">
        <f>IF(B357="","",IFERROR(VLOOKUP(B357,EQUIPEMENTS!A:B,2,0),""))</f>
        <v/>
      </c>
      <c r="E357" s="91" t="n"/>
      <c r="H357" s="91" t="n"/>
      <c r="J357" s="97">
        <f>IF(AND(G357="Planifiée",E357&lt;TODAY(),H357=""),TODAY()-E357,"")</f>
        <v/>
      </c>
    </row>
    <row r="358" ht="15" customHeight="1" s="59">
      <c r="C358" s="98">
        <f>IF(B358="","",IFERROR(VLOOKUP(B358,EQUIPEMENTS!A:B,2,0),""))</f>
        <v/>
      </c>
      <c r="E358" s="91" t="n"/>
      <c r="H358" s="91" t="n"/>
      <c r="J358" s="97">
        <f>IF(AND(G358="Planifiée",E358&lt;TODAY(),H358=""),TODAY()-E358,"")</f>
        <v/>
      </c>
    </row>
    <row r="359" ht="15" customHeight="1" s="59">
      <c r="C359" s="98">
        <f>IF(B359="","",IFERROR(VLOOKUP(B359,EQUIPEMENTS!A:B,2,0),""))</f>
        <v/>
      </c>
      <c r="E359" s="91" t="n"/>
      <c r="H359" s="91" t="n"/>
      <c r="J359" s="97">
        <f>IF(AND(G359="Planifiée",E359&lt;TODAY(),H359=""),TODAY()-E359,"")</f>
        <v/>
      </c>
    </row>
    <row r="360" ht="15" customHeight="1" s="59">
      <c r="C360" s="98">
        <f>IF(B360="","",IFERROR(VLOOKUP(B360,EQUIPEMENTS!A:B,2,0),""))</f>
        <v/>
      </c>
      <c r="E360" s="91" t="n"/>
      <c r="H360" s="91" t="n"/>
      <c r="J360" s="97">
        <f>IF(AND(G360="Planifiée",E360&lt;TODAY(),H360=""),TODAY()-E360,"")</f>
        <v/>
      </c>
    </row>
    <row r="361" ht="15" customHeight="1" s="59">
      <c r="C361" s="98">
        <f>IF(B361="","",IFERROR(VLOOKUP(B361,EQUIPEMENTS!A:B,2,0),""))</f>
        <v/>
      </c>
      <c r="E361" s="91" t="n"/>
      <c r="H361" s="91" t="n"/>
      <c r="J361" s="97">
        <f>IF(AND(G361="Planifiée",E361&lt;TODAY(),H361=""),TODAY()-E361,"")</f>
        <v/>
      </c>
    </row>
    <row r="362" ht="15" customHeight="1" s="59">
      <c r="C362" s="98">
        <f>IF(B362="","",IFERROR(VLOOKUP(B362,EQUIPEMENTS!A:B,2,0),""))</f>
        <v/>
      </c>
      <c r="E362" s="91" t="n"/>
      <c r="H362" s="91" t="n"/>
      <c r="J362" s="97">
        <f>IF(AND(G362="Planifiée",E362&lt;TODAY(),H362=""),TODAY()-E362,"")</f>
        <v/>
      </c>
    </row>
    <row r="363" ht="15" customHeight="1" s="59">
      <c r="C363" s="98">
        <f>IF(B363="","",IFERROR(VLOOKUP(B363,EQUIPEMENTS!A:B,2,0),""))</f>
        <v/>
      </c>
      <c r="E363" s="91" t="n"/>
      <c r="H363" s="91" t="n"/>
      <c r="J363" s="97">
        <f>IF(AND(G363="Planifiée",E363&lt;TODAY(),H363=""),TODAY()-E363,"")</f>
        <v/>
      </c>
    </row>
    <row r="364" ht="15" customHeight="1" s="59">
      <c r="C364" s="98">
        <f>IF(B364="","",IFERROR(VLOOKUP(B364,EQUIPEMENTS!A:B,2,0),""))</f>
        <v/>
      </c>
      <c r="E364" s="91" t="n"/>
      <c r="H364" s="91" t="n"/>
      <c r="J364" s="97">
        <f>IF(AND(G364="Planifiée",E364&lt;TODAY(),H364=""),TODAY()-E364,"")</f>
        <v/>
      </c>
    </row>
    <row r="365" ht="15" customHeight="1" s="59">
      <c r="C365" s="98">
        <f>IF(B365="","",IFERROR(VLOOKUP(B365,EQUIPEMENTS!A:B,2,0),""))</f>
        <v/>
      </c>
      <c r="E365" s="91" t="n"/>
      <c r="H365" s="91" t="n"/>
      <c r="J365" s="97">
        <f>IF(AND(G365="Planifiée",E365&lt;TODAY(),H365=""),TODAY()-E365,"")</f>
        <v/>
      </c>
    </row>
    <row r="366" ht="15" customHeight="1" s="59">
      <c r="C366" s="98">
        <f>IF(B366="","",IFERROR(VLOOKUP(B366,EQUIPEMENTS!A:B,2,0),""))</f>
        <v/>
      </c>
      <c r="E366" s="91" t="n"/>
      <c r="H366" s="91" t="n"/>
      <c r="J366" s="97">
        <f>IF(AND(G366="Planifiée",E366&lt;TODAY(),H366=""),TODAY()-E366,"")</f>
        <v/>
      </c>
    </row>
    <row r="367" ht="15" customHeight="1" s="59">
      <c r="C367" s="98">
        <f>IF(B367="","",IFERROR(VLOOKUP(B367,EQUIPEMENTS!A:B,2,0),""))</f>
        <v/>
      </c>
      <c r="E367" s="91" t="n"/>
      <c r="H367" s="91" t="n"/>
      <c r="J367" s="97">
        <f>IF(AND(G367="Planifiée",E367&lt;TODAY(),H367=""),TODAY()-E367,"")</f>
        <v/>
      </c>
    </row>
    <row r="368" ht="15" customHeight="1" s="59">
      <c r="C368" s="98">
        <f>IF(B368="","",IFERROR(VLOOKUP(B368,EQUIPEMENTS!A:B,2,0),""))</f>
        <v/>
      </c>
      <c r="E368" s="91" t="n"/>
      <c r="H368" s="91" t="n"/>
      <c r="J368" s="97">
        <f>IF(AND(G368="Planifiée",E368&lt;TODAY(),H368=""),TODAY()-E368,"")</f>
        <v/>
      </c>
    </row>
    <row r="369" ht="15" customHeight="1" s="59">
      <c r="C369" s="98">
        <f>IF(B369="","",IFERROR(VLOOKUP(B369,EQUIPEMENTS!A:B,2,0),""))</f>
        <v/>
      </c>
      <c r="E369" s="91" t="n"/>
      <c r="H369" s="91" t="n"/>
      <c r="J369" s="97">
        <f>IF(AND(G369="Planifiée",E369&lt;TODAY(),H369=""),TODAY()-E369,"")</f>
        <v/>
      </c>
    </row>
    <row r="370" ht="15" customHeight="1" s="59">
      <c r="C370" s="98">
        <f>IF(B370="","",IFERROR(VLOOKUP(B370,EQUIPEMENTS!A:B,2,0),""))</f>
        <v/>
      </c>
      <c r="E370" s="91" t="n"/>
      <c r="H370" s="91" t="n"/>
      <c r="J370" s="97">
        <f>IF(AND(G370="Planifiée",E370&lt;TODAY(),H370=""),TODAY()-E370,"")</f>
        <v/>
      </c>
    </row>
    <row r="371" ht="15" customHeight="1" s="59">
      <c r="C371" s="98">
        <f>IF(B371="","",IFERROR(VLOOKUP(B371,EQUIPEMENTS!A:B,2,0),""))</f>
        <v/>
      </c>
      <c r="E371" s="91" t="n"/>
      <c r="H371" s="91" t="n"/>
      <c r="J371" s="97">
        <f>IF(AND(G371="Planifiée",E371&lt;TODAY(),H371=""),TODAY()-E371,"")</f>
        <v/>
      </c>
    </row>
    <row r="372" ht="15" customHeight="1" s="59">
      <c r="C372" s="98">
        <f>IF(B372="","",IFERROR(VLOOKUP(B372,EQUIPEMENTS!A:B,2,0),""))</f>
        <v/>
      </c>
      <c r="E372" s="91" t="n"/>
      <c r="H372" s="91" t="n"/>
      <c r="J372" s="97">
        <f>IF(AND(G372="Planifiée",E372&lt;TODAY(),H372=""),TODAY()-E372,"")</f>
        <v/>
      </c>
    </row>
    <row r="373" ht="15" customHeight="1" s="59">
      <c r="C373" s="98">
        <f>IF(B373="","",IFERROR(VLOOKUP(B373,EQUIPEMENTS!A:B,2,0),""))</f>
        <v/>
      </c>
      <c r="E373" s="91" t="n"/>
      <c r="H373" s="91" t="n"/>
      <c r="J373" s="97">
        <f>IF(AND(G373="Planifiée",E373&lt;TODAY(),H373=""),TODAY()-E373,"")</f>
        <v/>
      </c>
    </row>
    <row r="374" ht="15" customHeight="1" s="59">
      <c r="C374" s="98">
        <f>IF(B374="","",IFERROR(VLOOKUP(B374,EQUIPEMENTS!A:B,2,0),""))</f>
        <v/>
      </c>
      <c r="E374" s="91" t="n"/>
      <c r="H374" s="91" t="n"/>
      <c r="J374" s="97">
        <f>IF(AND(G374="Planifiée",E374&lt;TODAY(),H374=""),TODAY()-E374,"")</f>
        <v/>
      </c>
    </row>
    <row r="375" ht="15" customHeight="1" s="59">
      <c r="C375" s="98">
        <f>IF(B375="","",IFERROR(VLOOKUP(B375,EQUIPEMENTS!A:B,2,0),""))</f>
        <v/>
      </c>
      <c r="E375" s="91" t="n"/>
      <c r="H375" s="91" t="n"/>
      <c r="J375" s="97">
        <f>IF(AND(G375="Planifiée",E375&lt;TODAY(),H375=""),TODAY()-E375,"")</f>
        <v/>
      </c>
    </row>
    <row r="376" ht="15" customHeight="1" s="59">
      <c r="C376" s="98">
        <f>IF(B376="","",IFERROR(VLOOKUP(B376,EQUIPEMENTS!A:B,2,0),""))</f>
        <v/>
      </c>
      <c r="E376" s="91" t="n"/>
      <c r="H376" s="91" t="n"/>
      <c r="J376" s="97">
        <f>IF(AND(G376="Planifiée",E376&lt;TODAY(),H376=""),TODAY()-E376,"")</f>
        <v/>
      </c>
    </row>
    <row r="377" ht="15" customHeight="1" s="59">
      <c r="C377" s="98">
        <f>IF(B377="","",IFERROR(VLOOKUP(B377,EQUIPEMENTS!A:B,2,0),""))</f>
        <v/>
      </c>
      <c r="E377" s="91" t="n"/>
      <c r="H377" s="91" t="n"/>
      <c r="J377" s="97">
        <f>IF(AND(G377="Planifiée",E377&lt;TODAY(),H377=""),TODAY()-E377,"")</f>
        <v/>
      </c>
    </row>
    <row r="378" ht="15" customHeight="1" s="59">
      <c r="C378" s="98">
        <f>IF(B378="","",IFERROR(VLOOKUP(B378,EQUIPEMENTS!A:B,2,0),""))</f>
        <v/>
      </c>
      <c r="E378" s="91" t="n"/>
      <c r="H378" s="91" t="n"/>
      <c r="J378" s="97">
        <f>IF(AND(G378="Planifiée",E378&lt;TODAY(),H378=""),TODAY()-E378,"")</f>
        <v/>
      </c>
    </row>
    <row r="379" ht="15" customHeight="1" s="59">
      <c r="C379" s="98">
        <f>IF(B379="","",IFERROR(VLOOKUP(B379,EQUIPEMENTS!A:B,2,0),""))</f>
        <v/>
      </c>
      <c r="E379" s="91" t="n"/>
      <c r="H379" s="91" t="n"/>
      <c r="J379" s="97">
        <f>IF(AND(G379="Planifiée",E379&lt;TODAY(),H379=""),TODAY()-E379,"")</f>
        <v/>
      </c>
    </row>
    <row r="380" ht="15" customHeight="1" s="59">
      <c r="C380" s="98">
        <f>IF(B380="","",IFERROR(VLOOKUP(B380,EQUIPEMENTS!A:B,2,0),""))</f>
        <v/>
      </c>
      <c r="E380" s="91" t="n"/>
      <c r="H380" s="91" t="n"/>
      <c r="J380" s="97">
        <f>IF(AND(G380="Planifiée",E380&lt;TODAY(),H380=""),TODAY()-E380,"")</f>
        <v/>
      </c>
    </row>
    <row r="381" ht="15" customHeight="1" s="59">
      <c r="C381" s="98">
        <f>IF(B381="","",IFERROR(VLOOKUP(B381,EQUIPEMENTS!A:B,2,0),""))</f>
        <v/>
      </c>
      <c r="E381" s="91" t="n"/>
      <c r="H381" s="91" t="n"/>
      <c r="J381" s="97">
        <f>IF(AND(G381="Planifiée",E381&lt;TODAY(),H381=""),TODAY()-E381,"")</f>
        <v/>
      </c>
    </row>
    <row r="382" ht="15" customHeight="1" s="59">
      <c r="C382" s="98">
        <f>IF(B382="","",IFERROR(VLOOKUP(B382,EQUIPEMENTS!A:B,2,0),""))</f>
        <v/>
      </c>
      <c r="E382" s="91" t="n"/>
      <c r="H382" s="91" t="n"/>
      <c r="J382" s="97">
        <f>IF(AND(G382="Planifiée",E382&lt;TODAY(),H382=""),TODAY()-E382,"")</f>
        <v/>
      </c>
    </row>
    <row r="383" ht="15" customHeight="1" s="59">
      <c r="C383" s="98">
        <f>IF(B383="","",IFERROR(VLOOKUP(B383,EQUIPEMENTS!A:B,2,0),""))</f>
        <v/>
      </c>
      <c r="E383" s="91" t="n"/>
      <c r="H383" s="91" t="n"/>
      <c r="J383" s="97">
        <f>IF(AND(G383="Planifiée",E383&lt;TODAY(),H383=""),TODAY()-E383,"")</f>
        <v/>
      </c>
    </row>
    <row r="384" ht="15" customHeight="1" s="59">
      <c r="C384" s="98">
        <f>IF(B384="","",IFERROR(VLOOKUP(B384,EQUIPEMENTS!A:B,2,0),""))</f>
        <v/>
      </c>
      <c r="E384" s="91" t="n"/>
      <c r="H384" s="91" t="n"/>
      <c r="J384" s="97">
        <f>IF(AND(G384="Planifiée",E384&lt;TODAY(),H384=""),TODAY()-E384,"")</f>
        <v/>
      </c>
    </row>
    <row r="385" ht="15" customHeight="1" s="59">
      <c r="C385" s="98">
        <f>IF(B385="","",IFERROR(VLOOKUP(B385,EQUIPEMENTS!A:B,2,0),""))</f>
        <v/>
      </c>
      <c r="E385" s="91" t="n"/>
      <c r="H385" s="91" t="n"/>
      <c r="J385" s="97">
        <f>IF(AND(G385="Planifiée",E385&lt;TODAY(),H385=""),TODAY()-E385,"")</f>
        <v/>
      </c>
    </row>
    <row r="386" ht="15" customHeight="1" s="59">
      <c r="C386" s="98">
        <f>IF(B386="","",IFERROR(VLOOKUP(B386,EQUIPEMENTS!A:B,2,0),""))</f>
        <v/>
      </c>
      <c r="E386" s="91" t="n"/>
      <c r="H386" s="91" t="n"/>
      <c r="J386" s="97">
        <f>IF(AND(G386="Planifiée",E386&lt;TODAY(),H386=""),TODAY()-E386,"")</f>
        <v/>
      </c>
    </row>
    <row r="387" ht="15" customHeight="1" s="59">
      <c r="C387" s="98">
        <f>IF(B387="","",IFERROR(VLOOKUP(B387,EQUIPEMENTS!A:B,2,0),""))</f>
        <v/>
      </c>
      <c r="E387" s="91" t="n"/>
      <c r="H387" s="91" t="n"/>
      <c r="J387" s="97">
        <f>IF(AND(G387="Planifiée",E387&lt;TODAY(),H387=""),TODAY()-E387,"")</f>
        <v/>
      </c>
    </row>
    <row r="388" ht="15" customHeight="1" s="59">
      <c r="C388" s="98">
        <f>IF(B388="","",IFERROR(VLOOKUP(B388,EQUIPEMENTS!A:B,2,0),""))</f>
        <v/>
      </c>
      <c r="E388" s="91" t="n"/>
      <c r="H388" s="91" t="n"/>
      <c r="J388" s="97">
        <f>IF(AND(G388="Planifiée",E388&lt;TODAY(),H388=""),TODAY()-E388,"")</f>
        <v/>
      </c>
    </row>
    <row r="389" ht="15" customHeight="1" s="59">
      <c r="C389" s="98">
        <f>IF(B389="","",IFERROR(VLOOKUP(B389,EQUIPEMENTS!A:B,2,0),""))</f>
        <v/>
      </c>
      <c r="E389" s="91" t="n"/>
      <c r="H389" s="91" t="n"/>
      <c r="J389" s="97">
        <f>IF(AND(G389="Planifiée",E389&lt;TODAY(),H389=""),TODAY()-E389,"")</f>
        <v/>
      </c>
    </row>
    <row r="390" ht="15" customHeight="1" s="59">
      <c r="C390" s="98">
        <f>IF(B390="","",IFERROR(VLOOKUP(B390,EQUIPEMENTS!A:B,2,0),""))</f>
        <v/>
      </c>
      <c r="E390" s="91" t="n"/>
      <c r="H390" s="91" t="n"/>
      <c r="J390" s="97">
        <f>IF(AND(G390="Planifiée",E390&lt;TODAY(),H390=""),TODAY()-E390,"")</f>
        <v/>
      </c>
    </row>
    <row r="391" ht="15" customHeight="1" s="59">
      <c r="C391" s="98">
        <f>IF(B391="","",IFERROR(VLOOKUP(B391,EQUIPEMENTS!A:B,2,0),""))</f>
        <v/>
      </c>
      <c r="E391" s="91" t="n"/>
      <c r="H391" s="91" t="n"/>
      <c r="J391" s="97">
        <f>IF(AND(G391="Planifiée",E391&lt;TODAY(),H391=""),TODAY()-E391,"")</f>
        <v/>
      </c>
    </row>
    <row r="392" ht="15" customHeight="1" s="59">
      <c r="C392" s="98">
        <f>IF(B392="","",IFERROR(VLOOKUP(B392,EQUIPEMENTS!A:B,2,0),""))</f>
        <v/>
      </c>
      <c r="E392" s="91" t="n"/>
      <c r="H392" s="91" t="n"/>
      <c r="J392" s="97">
        <f>IF(AND(G392="Planifiée",E392&lt;TODAY(),H392=""),TODAY()-E392,"")</f>
        <v/>
      </c>
    </row>
    <row r="393" ht="15" customHeight="1" s="59">
      <c r="C393" s="98">
        <f>IF(B393="","",IFERROR(VLOOKUP(B393,EQUIPEMENTS!A:B,2,0),""))</f>
        <v/>
      </c>
      <c r="E393" s="91" t="n"/>
      <c r="H393" s="91" t="n"/>
      <c r="J393" s="97">
        <f>IF(AND(G393="Planifiée",E393&lt;TODAY(),H393=""),TODAY()-E393,"")</f>
        <v/>
      </c>
    </row>
    <row r="394" ht="15" customHeight="1" s="59">
      <c r="C394" s="98">
        <f>IF(B394="","",IFERROR(VLOOKUP(B394,EQUIPEMENTS!A:B,2,0),""))</f>
        <v/>
      </c>
      <c r="E394" s="91" t="n"/>
      <c r="H394" s="91" t="n"/>
      <c r="J394" s="97">
        <f>IF(AND(G394="Planifiée",E394&lt;TODAY(),H394=""),TODAY()-E394,"")</f>
        <v/>
      </c>
    </row>
    <row r="395" ht="15" customHeight="1" s="59">
      <c r="C395" s="98">
        <f>IF(B395="","",IFERROR(VLOOKUP(B395,EQUIPEMENTS!A:B,2,0),""))</f>
        <v/>
      </c>
      <c r="E395" s="91" t="n"/>
      <c r="H395" s="91" t="n"/>
      <c r="J395" s="97">
        <f>IF(AND(G395="Planifiée",E395&lt;TODAY(),H395=""),TODAY()-E395,"")</f>
        <v/>
      </c>
    </row>
    <row r="396" ht="15" customHeight="1" s="59">
      <c r="C396" s="98">
        <f>IF(B396="","",IFERROR(VLOOKUP(B396,EQUIPEMENTS!A:B,2,0),""))</f>
        <v/>
      </c>
      <c r="E396" s="91" t="n"/>
      <c r="H396" s="91" t="n"/>
      <c r="J396" s="97">
        <f>IF(AND(G396="Planifiée",E396&lt;TODAY(),H396=""),TODAY()-E396,"")</f>
        <v/>
      </c>
    </row>
    <row r="397" ht="15" customHeight="1" s="59">
      <c r="C397" s="98">
        <f>IF(B397="","",IFERROR(VLOOKUP(B397,EQUIPEMENTS!A:B,2,0),""))</f>
        <v/>
      </c>
      <c r="E397" s="91" t="n"/>
      <c r="H397" s="91" t="n"/>
      <c r="J397" s="97">
        <f>IF(AND(G397="Planifiée",E397&lt;TODAY(),H397=""),TODAY()-E397,"")</f>
        <v/>
      </c>
    </row>
    <row r="398" ht="15" customHeight="1" s="59">
      <c r="C398" s="98">
        <f>IF(B398="","",IFERROR(VLOOKUP(B398,EQUIPEMENTS!A:B,2,0),""))</f>
        <v/>
      </c>
      <c r="E398" s="91" t="n"/>
      <c r="H398" s="91" t="n"/>
      <c r="J398" s="97">
        <f>IF(AND(G398="Planifiée",E398&lt;TODAY(),H398=""),TODAY()-E398,"")</f>
        <v/>
      </c>
    </row>
    <row r="399" ht="15" customHeight="1" s="59">
      <c r="C399" s="98">
        <f>IF(B399="","",IFERROR(VLOOKUP(B399,EQUIPEMENTS!A:B,2,0),""))</f>
        <v/>
      </c>
      <c r="E399" s="91" t="n"/>
      <c r="H399" s="91" t="n"/>
      <c r="J399" s="97">
        <f>IF(AND(G399="Planifiée",E399&lt;TODAY(),H399=""),TODAY()-E399,"")</f>
        <v/>
      </c>
    </row>
    <row r="400" ht="15" customHeight="1" s="59">
      <c r="C400" s="98">
        <f>IF(B400="","",IFERROR(VLOOKUP(B400,EQUIPEMENTS!A:B,2,0),""))</f>
        <v/>
      </c>
      <c r="E400" s="91" t="n"/>
      <c r="H400" s="91" t="n"/>
      <c r="J400" s="97">
        <f>IF(AND(G400="Planifiée",E400&lt;TODAY(),H400=""),TODAY()-E400,"")</f>
        <v/>
      </c>
    </row>
    <row r="401" ht="15" customHeight="1" s="59">
      <c r="C401" s="98">
        <f>IF(B401="","",IFERROR(VLOOKUP(B401,EQUIPEMENTS!A:B,2,0),""))</f>
        <v/>
      </c>
      <c r="E401" s="91" t="n"/>
      <c r="H401" s="91" t="n"/>
      <c r="J401" s="97">
        <f>IF(AND(G401="Planifiée",E401&lt;TODAY(),H401=""),TODAY()-E401,"")</f>
        <v/>
      </c>
    </row>
    <row r="402" ht="15" customHeight="1" s="59">
      <c r="C402" s="98">
        <f>IF(B402="","",IFERROR(VLOOKUP(B402,EQUIPEMENTS!A:B,2,0),""))</f>
        <v/>
      </c>
      <c r="E402" s="91" t="n"/>
      <c r="H402" s="91" t="n"/>
      <c r="J402" s="97">
        <f>IF(AND(G402="Planifiée",E402&lt;TODAY(),H402=""),TODAY()-E402,"")</f>
        <v/>
      </c>
    </row>
    <row r="403" ht="15" customHeight="1" s="59">
      <c r="C403" s="98">
        <f>IF(B403="","",IFERROR(VLOOKUP(B403,EQUIPEMENTS!A:B,2,0),""))</f>
        <v/>
      </c>
      <c r="E403" s="91" t="n"/>
      <c r="H403" s="91" t="n"/>
      <c r="J403" s="97">
        <f>IF(AND(G403="Planifiée",E403&lt;TODAY(),H403=""),TODAY()-E403,"")</f>
        <v/>
      </c>
    </row>
    <row r="404" ht="15" customHeight="1" s="59">
      <c r="C404" s="98">
        <f>IF(B404="","",IFERROR(VLOOKUP(B404,EQUIPEMENTS!A:B,2,0),""))</f>
        <v/>
      </c>
      <c r="E404" s="91" t="n"/>
      <c r="H404" s="91" t="n"/>
      <c r="J404" s="97">
        <f>IF(AND(G404="Planifiée",E404&lt;TODAY(),H404=""),TODAY()-E404,"")</f>
        <v/>
      </c>
    </row>
    <row r="405" ht="15" customHeight="1" s="59">
      <c r="C405" s="98">
        <f>IF(B405="","",IFERROR(VLOOKUP(B405,EQUIPEMENTS!A:B,2,0),""))</f>
        <v/>
      </c>
      <c r="E405" s="91" t="n"/>
      <c r="H405" s="91" t="n"/>
      <c r="J405" s="97">
        <f>IF(AND(G405="Planifiée",E405&lt;TODAY(),H405=""),TODAY()-E405,"")</f>
        <v/>
      </c>
    </row>
    <row r="406" ht="15" customHeight="1" s="59">
      <c r="C406" s="98">
        <f>IF(B406="","",IFERROR(VLOOKUP(B406,EQUIPEMENTS!A:B,2,0),""))</f>
        <v/>
      </c>
      <c r="E406" s="91" t="n"/>
      <c r="H406" s="91" t="n"/>
      <c r="J406" s="97">
        <f>IF(AND(G406="Planifiée",E406&lt;TODAY(),H406=""),TODAY()-E406,"")</f>
        <v/>
      </c>
    </row>
    <row r="407" ht="15" customHeight="1" s="59">
      <c r="C407" s="98">
        <f>IF(B407="","",IFERROR(VLOOKUP(B407,EQUIPEMENTS!A:B,2,0),""))</f>
        <v/>
      </c>
      <c r="E407" s="91" t="n"/>
      <c r="H407" s="91" t="n"/>
      <c r="J407" s="97">
        <f>IF(AND(G407="Planifiée",E407&lt;TODAY(),H407=""),TODAY()-E407,"")</f>
        <v/>
      </c>
    </row>
    <row r="408" ht="15" customHeight="1" s="59">
      <c r="C408" s="98">
        <f>IF(B408="","",IFERROR(VLOOKUP(B408,EQUIPEMENTS!A:B,2,0),""))</f>
        <v/>
      </c>
      <c r="E408" s="91" t="n"/>
      <c r="H408" s="91" t="n"/>
      <c r="J408" s="97">
        <f>IF(AND(G408="Planifiée",E408&lt;TODAY(),H408=""),TODAY()-E408,"")</f>
        <v/>
      </c>
    </row>
    <row r="409" ht="15" customHeight="1" s="59">
      <c r="C409" s="98">
        <f>IF(B409="","",IFERROR(VLOOKUP(B409,EQUIPEMENTS!A:B,2,0),""))</f>
        <v/>
      </c>
      <c r="E409" s="91" t="n"/>
      <c r="H409" s="91" t="n"/>
      <c r="J409" s="97">
        <f>IF(AND(G409="Planifiée",E409&lt;TODAY(),H409=""),TODAY()-E409,"")</f>
        <v/>
      </c>
    </row>
    <row r="410" ht="15" customHeight="1" s="59">
      <c r="C410" s="98">
        <f>IF(B410="","",IFERROR(VLOOKUP(B410,EQUIPEMENTS!A:B,2,0),""))</f>
        <v/>
      </c>
      <c r="E410" s="91" t="n"/>
      <c r="H410" s="91" t="n"/>
      <c r="J410" s="97">
        <f>IF(AND(G410="Planifiée",E410&lt;TODAY(),H410=""),TODAY()-E410,"")</f>
        <v/>
      </c>
    </row>
    <row r="411" ht="15" customHeight="1" s="59">
      <c r="C411" s="98">
        <f>IF(B411="","",IFERROR(VLOOKUP(B411,EQUIPEMENTS!A:B,2,0),""))</f>
        <v/>
      </c>
      <c r="E411" s="91" t="n"/>
      <c r="H411" s="91" t="n"/>
      <c r="J411" s="97">
        <f>IF(AND(G411="Planifiée",E411&lt;TODAY(),H411=""),TODAY()-E411,"")</f>
        <v/>
      </c>
    </row>
    <row r="412" ht="15" customHeight="1" s="59">
      <c r="C412" s="98">
        <f>IF(B412="","",IFERROR(VLOOKUP(B412,EQUIPEMENTS!A:B,2,0),""))</f>
        <v/>
      </c>
      <c r="E412" s="91" t="n"/>
      <c r="H412" s="91" t="n"/>
      <c r="J412" s="97">
        <f>IF(AND(G412="Planifiée",E412&lt;TODAY(),H412=""),TODAY()-E412,"")</f>
        <v/>
      </c>
    </row>
    <row r="413" ht="15" customHeight="1" s="59">
      <c r="C413" s="98">
        <f>IF(B413="","",IFERROR(VLOOKUP(B413,EQUIPEMENTS!A:B,2,0),""))</f>
        <v/>
      </c>
      <c r="E413" s="91" t="n"/>
      <c r="H413" s="91" t="n"/>
      <c r="J413" s="97">
        <f>IF(AND(G413="Planifiée",E413&lt;TODAY(),H413=""),TODAY()-E413,"")</f>
        <v/>
      </c>
    </row>
    <row r="414" ht="15" customHeight="1" s="59">
      <c r="C414" s="98">
        <f>IF(B414="","",IFERROR(VLOOKUP(B414,EQUIPEMENTS!A:B,2,0),""))</f>
        <v/>
      </c>
      <c r="E414" s="91" t="n"/>
      <c r="H414" s="91" t="n"/>
      <c r="J414" s="97">
        <f>IF(AND(G414="Planifiée",E414&lt;TODAY(),H414=""),TODAY()-E414,"")</f>
        <v/>
      </c>
    </row>
    <row r="415" ht="15" customHeight="1" s="59">
      <c r="C415" s="98">
        <f>IF(B415="","",IFERROR(VLOOKUP(B415,EQUIPEMENTS!A:B,2,0),""))</f>
        <v/>
      </c>
      <c r="E415" s="91" t="n"/>
      <c r="H415" s="91" t="n"/>
      <c r="J415" s="97">
        <f>IF(AND(G415="Planifiée",E415&lt;TODAY(),H415=""),TODAY()-E415,"")</f>
        <v/>
      </c>
    </row>
    <row r="416" ht="15" customHeight="1" s="59">
      <c r="C416" s="98">
        <f>IF(B416="","",IFERROR(VLOOKUP(B416,EQUIPEMENTS!A:B,2,0),""))</f>
        <v/>
      </c>
      <c r="E416" s="91" t="n"/>
      <c r="H416" s="91" t="n"/>
      <c r="J416" s="97">
        <f>IF(AND(G416="Planifiée",E416&lt;TODAY(),H416=""),TODAY()-E416,"")</f>
        <v/>
      </c>
    </row>
    <row r="417" ht="15" customHeight="1" s="59">
      <c r="C417" s="98">
        <f>IF(B417="","",IFERROR(VLOOKUP(B417,EQUIPEMENTS!A:B,2,0),""))</f>
        <v/>
      </c>
      <c r="E417" s="91" t="n"/>
      <c r="H417" s="91" t="n"/>
      <c r="J417" s="97">
        <f>IF(AND(G417="Planifiée",E417&lt;TODAY(),H417=""),TODAY()-E417,"")</f>
        <v/>
      </c>
    </row>
    <row r="418" ht="15" customHeight="1" s="59">
      <c r="C418" s="98">
        <f>IF(B418="","",IFERROR(VLOOKUP(B418,EQUIPEMENTS!A:B,2,0),""))</f>
        <v/>
      </c>
      <c r="E418" s="91" t="n"/>
      <c r="H418" s="91" t="n"/>
      <c r="J418" s="97">
        <f>IF(AND(G418="Planifiée",E418&lt;TODAY(),H418=""),TODAY()-E418,"")</f>
        <v/>
      </c>
    </row>
    <row r="419" ht="15" customHeight="1" s="59">
      <c r="C419" s="98">
        <f>IF(B419="","",IFERROR(VLOOKUP(B419,EQUIPEMENTS!A:B,2,0),""))</f>
        <v/>
      </c>
      <c r="E419" s="91" t="n"/>
      <c r="H419" s="91" t="n"/>
      <c r="J419" s="97">
        <f>IF(AND(G419="Planifiée",E419&lt;TODAY(),H419=""),TODAY()-E419,"")</f>
        <v/>
      </c>
    </row>
    <row r="420" ht="15" customHeight="1" s="59">
      <c r="C420" s="98">
        <f>IF(B420="","",IFERROR(VLOOKUP(B420,EQUIPEMENTS!A:B,2,0),""))</f>
        <v/>
      </c>
      <c r="E420" s="91" t="n"/>
      <c r="H420" s="91" t="n"/>
      <c r="J420" s="97">
        <f>IF(AND(G420="Planifiée",E420&lt;TODAY(),H420=""),TODAY()-E420,"")</f>
        <v/>
      </c>
    </row>
    <row r="421" ht="15" customHeight="1" s="59">
      <c r="C421" s="98">
        <f>IF(B421="","",IFERROR(VLOOKUP(B421,EQUIPEMENTS!A:B,2,0),""))</f>
        <v/>
      </c>
      <c r="E421" s="91" t="n"/>
      <c r="H421" s="91" t="n"/>
      <c r="J421" s="97">
        <f>IF(AND(G421="Planifiée",E421&lt;TODAY(),H421=""),TODAY()-E421,"")</f>
        <v/>
      </c>
    </row>
    <row r="422" ht="15" customHeight="1" s="59">
      <c r="C422" s="98">
        <f>IF(B422="","",IFERROR(VLOOKUP(B422,EQUIPEMENTS!A:B,2,0),""))</f>
        <v/>
      </c>
      <c r="E422" s="91" t="n"/>
      <c r="H422" s="91" t="n"/>
      <c r="J422" s="97">
        <f>IF(AND(G422="Planifiée",E422&lt;TODAY(),H422=""),TODAY()-E422,"")</f>
        <v/>
      </c>
    </row>
    <row r="423" ht="15" customHeight="1" s="59">
      <c r="C423" s="98">
        <f>IF(B423="","",IFERROR(VLOOKUP(B423,EQUIPEMENTS!A:B,2,0),""))</f>
        <v/>
      </c>
      <c r="E423" s="91" t="n"/>
      <c r="H423" s="91" t="n"/>
      <c r="J423" s="97">
        <f>IF(AND(G423="Planifiée",E423&lt;TODAY(),H423=""),TODAY()-E423,"")</f>
        <v/>
      </c>
    </row>
    <row r="424" ht="15" customHeight="1" s="59">
      <c r="C424" s="98">
        <f>IF(B424="","",IFERROR(VLOOKUP(B424,EQUIPEMENTS!A:B,2,0),""))</f>
        <v/>
      </c>
      <c r="E424" s="91" t="n"/>
      <c r="H424" s="91" t="n"/>
      <c r="J424" s="97">
        <f>IF(AND(G424="Planifiée",E424&lt;TODAY(),H424=""),TODAY()-E424,"")</f>
        <v/>
      </c>
    </row>
    <row r="425" ht="15" customHeight="1" s="59">
      <c r="C425" s="98">
        <f>IF(B425="","",IFERROR(VLOOKUP(B425,EQUIPEMENTS!A:B,2,0),""))</f>
        <v/>
      </c>
      <c r="E425" s="91" t="n"/>
      <c r="H425" s="91" t="n"/>
      <c r="J425" s="97">
        <f>IF(AND(G425="Planifiée",E425&lt;TODAY(),H425=""),TODAY()-E425,"")</f>
        <v/>
      </c>
    </row>
    <row r="426" ht="15" customHeight="1" s="59">
      <c r="C426" s="98">
        <f>IF(B426="","",IFERROR(VLOOKUP(B426,EQUIPEMENTS!A:B,2,0),""))</f>
        <v/>
      </c>
      <c r="E426" s="91" t="n"/>
      <c r="H426" s="91" t="n"/>
      <c r="J426" s="97">
        <f>IF(AND(G426="Planifiée",E426&lt;TODAY(),H426=""),TODAY()-E426,"")</f>
        <v/>
      </c>
    </row>
    <row r="427" ht="15" customHeight="1" s="59">
      <c r="C427" s="98">
        <f>IF(B427="","",IFERROR(VLOOKUP(B427,EQUIPEMENTS!A:B,2,0),""))</f>
        <v/>
      </c>
      <c r="E427" s="91" t="n"/>
      <c r="H427" s="91" t="n"/>
      <c r="J427" s="97">
        <f>IF(AND(G427="Planifiée",E427&lt;TODAY(),H427=""),TODAY()-E427,"")</f>
        <v/>
      </c>
    </row>
    <row r="428" ht="15" customHeight="1" s="59">
      <c r="C428" s="98">
        <f>IF(B428="","",IFERROR(VLOOKUP(B428,EQUIPEMENTS!A:B,2,0),""))</f>
        <v/>
      </c>
      <c r="E428" s="91" t="n"/>
      <c r="H428" s="91" t="n"/>
      <c r="J428" s="97">
        <f>IF(AND(G428="Planifiée",E428&lt;TODAY(),H428=""),TODAY()-E428,"")</f>
        <v/>
      </c>
    </row>
    <row r="429" ht="15" customHeight="1" s="59">
      <c r="C429" s="98">
        <f>IF(B429="","",IFERROR(VLOOKUP(B429,EQUIPEMENTS!A:B,2,0),""))</f>
        <v/>
      </c>
      <c r="E429" s="91" t="n"/>
      <c r="H429" s="91" t="n"/>
      <c r="J429" s="97">
        <f>IF(AND(G429="Planifiée",E429&lt;TODAY(),H429=""),TODAY()-E429,"")</f>
        <v/>
      </c>
    </row>
    <row r="430" ht="15" customHeight="1" s="59">
      <c r="C430" s="98">
        <f>IF(B430="","",IFERROR(VLOOKUP(B430,EQUIPEMENTS!A:B,2,0),""))</f>
        <v/>
      </c>
      <c r="E430" s="91" t="n"/>
      <c r="H430" s="91" t="n"/>
      <c r="J430" s="97">
        <f>IF(AND(G430="Planifiée",E430&lt;TODAY(),H430=""),TODAY()-E430,"")</f>
        <v/>
      </c>
    </row>
    <row r="431" ht="15" customHeight="1" s="59">
      <c r="C431" s="98">
        <f>IF(B431="","",IFERROR(VLOOKUP(B431,EQUIPEMENTS!A:B,2,0),""))</f>
        <v/>
      </c>
      <c r="E431" s="91" t="n"/>
      <c r="H431" s="91" t="n"/>
      <c r="J431" s="97">
        <f>IF(AND(G431="Planifiée",E431&lt;TODAY(),H431=""),TODAY()-E431,"")</f>
        <v/>
      </c>
    </row>
    <row r="432" ht="15" customHeight="1" s="59">
      <c r="C432" s="98">
        <f>IF(B432="","",IFERROR(VLOOKUP(B432,EQUIPEMENTS!A:B,2,0),""))</f>
        <v/>
      </c>
      <c r="E432" s="91" t="n"/>
      <c r="H432" s="91" t="n"/>
      <c r="J432" s="97">
        <f>IF(AND(G432="Planifiée",E432&lt;TODAY(),H432=""),TODAY()-E432,"")</f>
        <v/>
      </c>
    </row>
    <row r="433" ht="15" customHeight="1" s="59">
      <c r="C433" s="98">
        <f>IF(B433="","",IFERROR(VLOOKUP(B433,EQUIPEMENTS!A:B,2,0),""))</f>
        <v/>
      </c>
      <c r="E433" s="91" t="n"/>
      <c r="H433" s="91" t="n"/>
      <c r="J433" s="97">
        <f>IF(AND(G433="Planifiée",E433&lt;TODAY(),H433=""),TODAY()-E433,"")</f>
        <v/>
      </c>
    </row>
    <row r="434" ht="15" customHeight="1" s="59">
      <c r="C434" s="98">
        <f>IF(B434="","",IFERROR(VLOOKUP(B434,EQUIPEMENTS!A:B,2,0),""))</f>
        <v/>
      </c>
      <c r="E434" s="91" t="n"/>
      <c r="H434" s="91" t="n"/>
      <c r="J434" s="97">
        <f>IF(AND(G434="Planifiée",E434&lt;TODAY(),H434=""),TODAY()-E434,"")</f>
        <v/>
      </c>
    </row>
    <row r="435" ht="15" customHeight="1" s="59">
      <c r="C435" s="98">
        <f>IF(B435="","",IFERROR(VLOOKUP(B435,EQUIPEMENTS!A:B,2,0),""))</f>
        <v/>
      </c>
      <c r="E435" s="91" t="n"/>
      <c r="H435" s="91" t="n"/>
      <c r="J435" s="97">
        <f>IF(AND(G435="Planifiée",E435&lt;TODAY(),H435=""),TODAY()-E435,"")</f>
        <v/>
      </c>
    </row>
    <row r="436" ht="15" customHeight="1" s="59">
      <c r="C436" s="98">
        <f>IF(B436="","",IFERROR(VLOOKUP(B436,EQUIPEMENTS!A:B,2,0),""))</f>
        <v/>
      </c>
      <c r="E436" s="91" t="n"/>
      <c r="H436" s="91" t="n"/>
      <c r="J436" s="97">
        <f>IF(AND(G436="Planifiée",E436&lt;TODAY(),H436=""),TODAY()-E436,"")</f>
        <v/>
      </c>
    </row>
    <row r="437" ht="15" customHeight="1" s="59">
      <c r="C437" s="98">
        <f>IF(B437="","",IFERROR(VLOOKUP(B437,EQUIPEMENTS!A:B,2,0),""))</f>
        <v/>
      </c>
      <c r="E437" s="91" t="n"/>
      <c r="H437" s="91" t="n"/>
      <c r="J437" s="97">
        <f>IF(AND(G437="Planifiée",E437&lt;TODAY(),H437=""),TODAY()-E437,"")</f>
        <v/>
      </c>
    </row>
    <row r="438" ht="15" customHeight="1" s="59">
      <c r="C438" s="98">
        <f>IF(B438="","",IFERROR(VLOOKUP(B438,EQUIPEMENTS!A:B,2,0),""))</f>
        <v/>
      </c>
      <c r="E438" s="91" t="n"/>
      <c r="H438" s="91" t="n"/>
      <c r="J438" s="97">
        <f>IF(AND(G438="Planifiée",E438&lt;TODAY(),H438=""),TODAY()-E438,"")</f>
        <v/>
      </c>
    </row>
    <row r="439" ht="15" customHeight="1" s="59">
      <c r="C439" s="98">
        <f>IF(B439="","",IFERROR(VLOOKUP(B439,EQUIPEMENTS!A:B,2,0),""))</f>
        <v/>
      </c>
      <c r="E439" s="91" t="n"/>
      <c r="H439" s="91" t="n"/>
      <c r="J439" s="97">
        <f>IF(AND(G439="Planifiée",E439&lt;TODAY(),H439=""),TODAY()-E439,"")</f>
        <v/>
      </c>
    </row>
    <row r="440" ht="15" customHeight="1" s="59">
      <c r="C440" s="98">
        <f>IF(B440="","",IFERROR(VLOOKUP(B440,EQUIPEMENTS!A:B,2,0),""))</f>
        <v/>
      </c>
      <c r="E440" s="91" t="n"/>
      <c r="H440" s="91" t="n"/>
      <c r="J440" s="97">
        <f>IF(AND(G440="Planifiée",E440&lt;TODAY(),H440=""),TODAY()-E440,"")</f>
        <v/>
      </c>
    </row>
    <row r="441" ht="15" customHeight="1" s="59">
      <c r="C441" s="98">
        <f>IF(B441="","",IFERROR(VLOOKUP(B441,EQUIPEMENTS!A:B,2,0),""))</f>
        <v/>
      </c>
      <c r="E441" s="91" t="n"/>
      <c r="H441" s="91" t="n"/>
      <c r="J441" s="97">
        <f>IF(AND(G441="Planifiée",E441&lt;TODAY(),H441=""),TODAY()-E441,"")</f>
        <v/>
      </c>
    </row>
    <row r="442" ht="15" customHeight="1" s="59">
      <c r="C442" s="98">
        <f>IF(B442="","",IFERROR(VLOOKUP(B442,EQUIPEMENTS!A:B,2,0),""))</f>
        <v/>
      </c>
      <c r="E442" s="91" t="n"/>
      <c r="H442" s="91" t="n"/>
      <c r="J442" s="97">
        <f>IF(AND(G442="Planifiée",E442&lt;TODAY(),H442=""),TODAY()-E442,"")</f>
        <v/>
      </c>
    </row>
    <row r="443" ht="15" customHeight="1" s="59">
      <c r="C443" s="98">
        <f>IF(B443="","",IFERROR(VLOOKUP(B443,EQUIPEMENTS!A:B,2,0),""))</f>
        <v/>
      </c>
      <c r="E443" s="91" t="n"/>
      <c r="H443" s="91" t="n"/>
      <c r="J443" s="97">
        <f>IF(AND(G443="Planifiée",E443&lt;TODAY(),H443=""),TODAY()-E443,"")</f>
        <v/>
      </c>
    </row>
    <row r="444" ht="15" customHeight="1" s="59">
      <c r="C444" s="98">
        <f>IF(B444="","",IFERROR(VLOOKUP(B444,EQUIPEMENTS!A:B,2,0),""))</f>
        <v/>
      </c>
      <c r="E444" s="91" t="n"/>
      <c r="H444" s="91" t="n"/>
      <c r="J444" s="97">
        <f>IF(AND(G444="Planifiée",E444&lt;TODAY(),H444=""),TODAY()-E444,"")</f>
        <v/>
      </c>
    </row>
    <row r="445" ht="15" customHeight="1" s="59">
      <c r="C445" s="98">
        <f>IF(B445="","",IFERROR(VLOOKUP(B445,EQUIPEMENTS!A:B,2,0),""))</f>
        <v/>
      </c>
      <c r="E445" s="91" t="n"/>
      <c r="H445" s="91" t="n"/>
      <c r="J445" s="97">
        <f>IF(AND(G445="Planifiée",E445&lt;TODAY(),H445=""),TODAY()-E445,"")</f>
        <v/>
      </c>
    </row>
    <row r="446" ht="15" customHeight="1" s="59">
      <c r="C446" s="98">
        <f>IF(B446="","",IFERROR(VLOOKUP(B446,EQUIPEMENTS!A:B,2,0),""))</f>
        <v/>
      </c>
      <c r="E446" s="91" t="n"/>
      <c r="H446" s="91" t="n"/>
      <c r="J446" s="97">
        <f>IF(AND(G446="Planifiée",E446&lt;TODAY(),H446=""),TODAY()-E446,"")</f>
        <v/>
      </c>
    </row>
    <row r="447" ht="15" customHeight="1" s="59">
      <c r="C447" s="98">
        <f>IF(B447="","",IFERROR(VLOOKUP(B447,EQUIPEMENTS!A:B,2,0),""))</f>
        <v/>
      </c>
      <c r="E447" s="91" t="n"/>
      <c r="H447" s="91" t="n"/>
      <c r="J447" s="97">
        <f>IF(AND(G447="Planifiée",E447&lt;TODAY(),H447=""),TODAY()-E447,"")</f>
        <v/>
      </c>
    </row>
    <row r="448" ht="15" customHeight="1" s="59">
      <c r="C448" s="98">
        <f>IF(B448="","",IFERROR(VLOOKUP(B448,EQUIPEMENTS!A:B,2,0),""))</f>
        <v/>
      </c>
      <c r="E448" s="91" t="n"/>
      <c r="H448" s="91" t="n"/>
      <c r="J448" s="97">
        <f>IF(AND(G448="Planifiée",E448&lt;TODAY(),H448=""),TODAY()-E448,"")</f>
        <v/>
      </c>
    </row>
    <row r="449" ht="15" customHeight="1" s="59">
      <c r="C449" s="98">
        <f>IF(B449="","",IFERROR(VLOOKUP(B449,EQUIPEMENTS!A:B,2,0),""))</f>
        <v/>
      </c>
      <c r="E449" s="91" t="n"/>
      <c r="H449" s="91" t="n"/>
      <c r="J449" s="97">
        <f>IF(AND(G449="Planifiée",E449&lt;TODAY(),H449=""),TODAY()-E449,"")</f>
        <v/>
      </c>
    </row>
    <row r="450" ht="15" customHeight="1" s="59">
      <c r="C450" s="98">
        <f>IF(B450="","",IFERROR(VLOOKUP(B450,EQUIPEMENTS!A:B,2,0),""))</f>
        <v/>
      </c>
      <c r="E450" s="91" t="n"/>
      <c r="H450" s="91" t="n"/>
      <c r="J450" s="97">
        <f>IF(AND(G450="Planifiée",E450&lt;TODAY(),H450=""),TODAY()-E450,"")</f>
        <v/>
      </c>
    </row>
    <row r="451" ht="15" customHeight="1" s="59">
      <c r="C451" s="98">
        <f>IF(B451="","",IFERROR(VLOOKUP(B451,EQUIPEMENTS!A:B,2,0),""))</f>
        <v/>
      </c>
      <c r="E451" s="91" t="n"/>
      <c r="H451" s="91" t="n"/>
      <c r="J451" s="97">
        <f>IF(AND(G451="Planifiée",E451&lt;TODAY(),H451=""),TODAY()-E451,"")</f>
        <v/>
      </c>
    </row>
    <row r="452" ht="15" customHeight="1" s="59">
      <c r="C452" s="98">
        <f>IF(B452="","",IFERROR(VLOOKUP(B452,EQUIPEMENTS!A:B,2,0),""))</f>
        <v/>
      </c>
      <c r="E452" s="91" t="n"/>
      <c r="H452" s="91" t="n"/>
      <c r="J452" s="97">
        <f>IF(AND(G452="Planifiée",E452&lt;TODAY(),H452=""),TODAY()-E452,"")</f>
        <v/>
      </c>
    </row>
    <row r="453" ht="15" customHeight="1" s="59">
      <c r="C453" s="98">
        <f>IF(B453="","",IFERROR(VLOOKUP(B453,EQUIPEMENTS!A:B,2,0),""))</f>
        <v/>
      </c>
      <c r="E453" s="91" t="n"/>
      <c r="H453" s="91" t="n"/>
      <c r="J453" s="97">
        <f>IF(AND(G453="Planifiée",E453&lt;TODAY(),H453=""),TODAY()-E453,"")</f>
        <v/>
      </c>
    </row>
    <row r="454" ht="15" customHeight="1" s="59">
      <c r="C454" s="98">
        <f>IF(B454="","",IFERROR(VLOOKUP(B454,EQUIPEMENTS!A:B,2,0),""))</f>
        <v/>
      </c>
      <c r="E454" s="91" t="n"/>
      <c r="H454" s="91" t="n"/>
      <c r="J454" s="97">
        <f>IF(AND(G454="Planifiée",E454&lt;TODAY(),H454=""),TODAY()-E454,"")</f>
        <v/>
      </c>
    </row>
    <row r="455" ht="15" customHeight="1" s="59">
      <c r="C455" s="98">
        <f>IF(B455="","",IFERROR(VLOOKUP(B455,EQUIPEMENTS!A:B,2,0),""))</f>
        <v/>
      </c>
      <c r="E455" s="91" t="n"/>
      <c r="H455" s="91" t="n"/>
      <c r="J455" s="97">
        <f>IF(AND(G455="Planifiée",E455&lt;TODAY(),H455=""),TODAY()-E455,"")</f>
        <v/>
      </c>
    </row>
    <row r="456" ht="15" customHeight="1" s="59">
      <c r="C456" s="98">
        <f>IF(B456="","",IFERROR(VLOOKUP(B456,EQUIPEMENTS!A:B,2,0),""))</f>
        <v/>
      </c>
      <c r="E456" s="91" t="n"/>
      <c r="H456" s="91" t="n"/>
      <c r="J456" s="97">
        <f>IF(AND(G456="Planifiée",E456&lt;TODAY(),H456=""),TODAY()-E456,"")</f>
        <v/>
      </c>
    </row>
    <row r="457" ht="15" customHeight="1" s="59">
      <c r="C457" s="98">
        <f>IF(B457="","",IFERROR(VLOOKUP(B457,EQUIPEMENTS!A:B,2,0),""))</f>
        <v/>
      </c>
      <c r="E457" s="91" t="n"/>
      <c r="H457" s="91" t="n"/>
      <c r="J457" s="97">
        <f>IF(AND(G457="Planifiée",E457&lt;TODAY(),H457=""),TODAY()-E457,"")</f>
        <v/>
      </c>
    </row>
    <row r="458" ht="15" customHeight="1" s="59">
      <c r="C458" s="98">
        <f>IF(B458="","",IFERROR(VLOOKUP(B458,EQUIPEMENTS!A:B,2,0),""))</f>
        <v/>
      </c>
      <c r="E458" s="91" t="n"/>
      <c r="H458" s="91" t="n"/>
      <c r="J458" s="97">
        <f>IF(AND(G458="Planifiée",E458&lt;TODAY(),H458=""),TODAY()-E458,"")</f>
        <v/>
      </c>
    </row>
    <row r="459" ht="15" customHeight="1" s="59">
      <c r="C459" s="98">
        <f>IF(B459="","",IFERROR(VLOOKUP(B459,EQUIPEMENTS!A:B,2,0),""))</f>
        <v/>
      </c>
      <c r="E459" s="91" t="n"/>
      <c r="H459" s="91" t="n"/>
      <c r="J459" s="97">
        <f>IF(AND(G459="Planifiée",E459&lt;TODAY(),H459=""),TODAY()-E459,"")</f>
        <v/>
      </c>
    </row>
    <row r="460" ht="15" customHeight="1" s="59">
      <c r="C460" s="98">
        <f>IF(B460="","",IFERROR(VLOOKUP(B460,EQUIPEMENTS!A:B,2,0),""))</f>
        <v/>
      </c>
      <c r="E460" s="91" t="n"/>
      <c r="H460" s="91" t="n"/>
      <c r="J460" s="97">
        <f>IF(AND(G460="Planifiée",E460&lt;TODAY(),H460=""),TODAY()-E460,"")</f>
        <v/>
      </c>
    </row>
    <row r="461" ht="15" customHeight="1" s="59">
      <c r="C461" s="98">
        <f>IF(B461="","",IFERROR(VLOOKUP(B461,EQUIPEMENTS!A:B,2,0),""))</f>
        <v/>
      </c>
      <c r="E461" s="91" t="n"/>
      <c r="H461" s="91" t="n"/>
      <c r="J461" s="97">
        <f>IF(AND(G461="Planifiée",E461&lt;TODAY(),H461=""),TODAY()-E461,"")</f>
        <v/>
      </c>
    </row>
    <row r="462" ht="15" customHeight="1" s="59">
      <c r="C462" s="98">
        <f>IF(B462="","",IFERROR(VLOOKUP(B462,EQUIPEMENTS!A:B,2,0),""))</f>
        <v/>
      </c>
      <c r="E462" s="91" t="n"/>
      <c r="H462" s="91" t="n"/>
      <c r="J462" s="97">
        <f>IF(AND(G462="Planifiée",E462&lt;TODAY(),H462=""),TODAY()-E462,"")</f>
        <v/>
      </c>
    </row>
    <row r="463" ht="15" customHeight="1" s="59">
      <c r="C463" s="98">
        <f>IF(B463="","",IFERROR(VLOOKUP(B463,EQUIPEMENTS!A:B,2,0),""))</f>
        <v/>
      </c>
      <c r="E463" s="91" t="n"/>
      <c r="H463" s="91" t="n"/>
      <c r="J463" s="97">
        <f>IF(AND(G463="Planifiée",E463&lt;TODAY(),H463=""),TODAY()-E463,"")</f>
        <v/>
      </c>
    </row>
    <row r="464" ht="15" customHeight="1" s="59">
      <c r="C464" s="98">
        <f>IF(B464="","",IFERROR(VLOOKUP(B464,EQUIPEMENTS!A:B,2,0),""))</f>
        <v/>
      </c>
      <c r="E464" s="91" t="n"/>
      <c r="H464" s="91" t="n"/>
      <c r="J464" s="97">
        <f>IF(AND(G464="Planifiée",E464&lt;TODAY(),H464=""),TODAY()-E464,"")</f>
        <v/>
      </c>
    </row>
    <row r="465" ht="15" customHeight="1" s="59">
      <c r="C465" s="98">
        <f>IF(B465="","",IFERROR(VLOOKUP(B465,EQUIPEMENTS!A:B,2,0),""))</f>
        <v/>
      </c>
      <c r="E465" s="91" t="n"/>
      <c r="H465" s="91" t="n"/>
      <c r="J465" s="97">
        <f>IF(AND(G465="Planifiée",E465&lt;TODAY(),H465=""),TODAY()-E465,"")</f>
        <v/>
      </c>
    </row>
    <row r="466" ht="15" customHeight="1" s="59">
      <c r="C466" s="98">
        <f>IF(B466="","",IFERROR(VLOOKUP(B466,EQUIPEMENTS!A:B,2,0),""))</f>
        <v/>
      </c>
      <c r="E466" s="91" t="n"/>
      <c r="H466" s="91" t="n"/>
      <c r="J466" s="97">
        <f>IF(AND(G466="Planifiée",E466&lt;TODAY(),H466=""),TODAY()-E466,"")</f>
        <v/>
      </c>
    </row>
    <row r="467" ht="15" customHeight="1" s="59">
      <c r="C467" s="98">
        <f>IF(B467="","",IFERROR(VLOOKUP(B467,EQUIPEMENTS!A:B,2,0),""))</f>
        <v/>
      </c>
      <c r="E467" s="91" t="n"/>
      <c r="H467" s="91" t="n"/>
      <c r="J467" s="97">
        <f>IF(AND(G467="Planifiée",E467&lt;TODAY(),H467=""),TODAY()-E467,"")</f>
        <v/>
      </c>
    </row>
    <row r="468" ht="15" customHeight="1" s="59">
      <c r="C468" s="98">
        <f>IF(B468="","",IFERROR(VLOOKUP(B468,EQUIPEMENTS!A:B,2,0),""))</f>
        <v/>
      </c>
      <c r="E468" s="91" t="n"/>
      <c r="H468" s="91" t="n"/>
      <c r="J468" s="97">
        <f>IF(AND(G468="Planifiée",E468&lt;TODAY(),H468=""),TODAY()-E468,"")</f>
        <v/>
      </c>
    </row>
    <row r="469" ht="15" customHeight="1" s="59">
      <c r="C469" s="98">
        <f>IF(B469="","",IFERROR(VLOOKUP(B469,EQUIPEMENTS!A:B,2,0),""))</f>
        <v/>
      </c>
      <c r="E469" s="91" t="n"/>
      <c r="H469" s="91" t="n"/>
      <c r="J469" s="97">
        <f>IF(AND(G469="Planifiée",E469&lt;TODAY(),H469=""),TODAY()-E469,"")</f>
        <v/>
      </c>
    </row>
    <row r="470" ht="15" customHeight="1" s="59">
      <c r="C470" s="98">
        <f>IF(B470="","",IFERROR(VLOOKUP(B470,EQUIPEMENTS!A:B,2,0),""))</f>
        <v/>
      </c>
      <c r="E470" s="91" t="n"/>
      <c r="H470" s="91" t="n"/>
      <c r="J470" s="97">
        <f>IF(AND(G470="Planifiée",E470&lt;TODAY(),H470=""),TODAY()-E470,"")</f>
        <v/>
      </c>
    </row>
    <row r="471" ht="15" customHeight="1" s="59">
      <c r="C471" s="98">
        <f>IF(B471="","",IFERROR(VLOOKUP(B471,EQUIPEMENTS!A:B,2,0),""))</f>
        <v/>
      </c>
      <c r="E471" s="91" t="n"/>
      <c r="H471" s="91" t="n"/>
      <c r="J471" s="97">
        <f>IF(AND(G471="Planifiée",E471&lt;TODAY(),H471=""),TODAY()-E471,"")</f>
        <v/>
      </c>
    </row>
    <row r="472" ht="15" customHeight="1" s="59">
      <c r="C472" s="98">
        <f>IF(B472="","",IFERROR(VLOOKUP(B472,EQUIPEMENTS!A:B,2,0),""))</f>
        <v/>
      </c>
      <c r="E472" s="91" t="n"/>
      <c r="H472" s="91" t="n"/>
      <c r="J472" s="97">
        <f>IF(AND(G472="Planifiée",E472&lt;TODAY(),H472=""),TODAY()-E472,"")</f>
        <v/>
      </c>
    </row>
    <row r="473" ht="15" customHeight="1" s="59">
      <c r="C473" s="98">
        <f>IF(B473="","",IFERROR(VLOOKUP(B473,EQUIPEMENTS!A:B,2,0),""))</f>
        <v/>
      </c>
      <c r="E473" s="91" t="n"/>
      <c r="H473" s="91" t="n"/>
      <c r="J473" s="97">
        <f>IF(AND(G473="Planifiée",E473&lt;TODAY(),H473=""),TODAY()-E473,"")</f>
        <v/>
      </c>
    </row>
    <row r="474" ht="15" customHeight="1" s="59">
      <c r="C474" s="98">
        <f>IF(B474="","",IFERROR(VLOOKUP(B474,EQUIPEMENTS!A:B,2,0),""))</f>
        <v/>
      </c>
      <c r="E474" s="91" t="n"/>
      <c r="H474" s="91" t="n"/>
      <c r="J474" s="97">
        <f>IF(AND(G474="Planifiée",E474&lt;TODAY(),H474=""),TODAY()-E474,"")</f>
        <v/>
      </c>
    </row>
    <row r="475" ht="15" customHeight="1" s="59">
      <c r="C475" s="98">
        <f>IF(B475="","",IFERROR(VLOOKUP(B475,EQUIPEMENTS!A:B,2,0),""))</f>
        <v/>
      </c>
      <c r="E475" s="91" t="n"/>
      <c r="H475" s="91" t="n"/>
      <c r="J475" s="97">
        <f>IF(AND(G475="Planifiée",E475&lt;TODAY(),H475=""),TODAY()-E475,"")</f>
        <v/>
      </c>
    </row>
    <row r="476" ht="15" customHeight="1" s="59">
      <c r="C476" s="98">
        <f>IF(B476="","",IFERROR(VLOOKUP(B476,EQUIPEMENTS!A:B,2,0),""))</f>
        <v/>
      </c>
      <c r="E476" s="91" t="n"/>
      <c r="H476" s="91" t="n"/>
      <c r="J476" s="97">
        <f>IF(AND(G476="Planifiée",E476&lt;TODAY(),H476=""),TODAY()-E476,"")</f>
        <v/>
      </c>
    </row>
    <row r="477" ht="15" customHeight="1" s="59">
      <c r="C477" s="98">
        <f>IF(B477="","",IFERROR(VLOOKUP(B477,EQUIPEMENTS!A:B,2,0),""))</f>
        <v/>
      </c>
      <c r="E477" s="91" t="n"/>
      <c r="H477" s="91" t="n"/>
      <c r="J477" s="97">
        <f>IF(AND(G477="Planifiée",E477&lt;TODAY(),H477=""),TODAY()-E477,"")</f>
        <v/>
      </c>
    </row>
    <row r="478" ht="15" customHeight="1" s="59">
      <c r="C478" s="98">
        <f>IF(B478="","",IFERROR(VLOOKUP(B478,EQUIPEMENTS!A:B,2,0),""))</f>
        <v/>
      </c>
      <c r="E478" s="91" t="n"/>
      <c r="H478" s="91" t="n"/>
      <c r="J478" s="97">
        <f>IF(AND(G478="Planifiée",E478&lt;TODAY(),H478=""),TODAY()-E478,"")</f>
        <v/>
      </c>
    </row>
    <row r="479" ht="15" customHeight="1" s="59">
      <c r="C479" s="98">
        <f>IF(B479="","",IFERROR(VLOOKUP(B479,EQUIPEMENTS!A:B,2,0),""))</f>
        <v/>
      </c>
      <c r="E479" s="91" t="n"/>
      <c r="H479" s="91" t="n"/>
      <c r="J479" s="97">
        <f>IF(AND(G479="Planifiée",E479&lt;TODAY(),H479=""),TODAY()-E479,"")</f>
        <v/>
      </c>
    </row>
    <row r="480" ht="15" customHeight="1" s="59">
      <c r="C480" s="98">
        <f>IF(B480="","",IFERROR(VLOOKUP(B480,EQUIPEMENTS!A:B,2,0),""))</f>
        <v/>
      </c>
      <c r="E480" s="91" t="n"/>
      <c r="H480" s="91" t="n"/>
      <c r="J480" s="97">
        <f>IF(AND(G480="Planifiée",E480&lt;TODAY(),H480=""),TODAY()-E480,"")</f>
        <v/>
      </c>
    </row>
    <row r="481" ht="15" customHeight="1" s="59">
      <c r="C481" s="98">
        <f>IF(B481="","",IFERROR(VLOOKUP(B481,EQUIPEMENTS!A:B,2,0),""))</f>
        <v/>
      </c>
      <c r="E481" s="91" t="n"/>
      <c r="H481" s="91" t="n"/>
      <c r="J481" s="97">
        <f>IF(AND(G481="Planifiée",E481&lt;TODAY(),H481=""),TODAY()-E481,"")</f>
        <v/>
      </c>
    </row>
    <row r="482" ht="15" customHeight="1" s="59">
      <c r="C482" s="98">
        <f>IF(B482="","",IFERROR(VLOOKUP(B482,EQUIPEMENTS!A:B,2,0),""))</f>
        <v/>
      </c>
      <c r="E482" s="91" t="n"/>
      <c r="H482" s="91" t="n"/>
      <c r="J482" s="97">
        <f>IF(AND(G482="Planifiée",E482&lt;TODAY(),H482=""),TODAY()-E482,"")</f>
        <v/>
      </c>
    </row>
    <row r="483" ht="15" customHeight="1" s="59">
      <c r="C483" s="98">
        <f>IF(B483="","",IFERROR(VLOOKUP(B483,EQUIPEMENTS!A:B,2,0),""))</f>
        <v/>
      </c>
      <c r="E483" s="91" t="n"/>
      <c r="H483" s="91" t="n"/>
      <c r="J483" s="97">
        <f>IF(AND(G483="Planifiée",E483&lt;TODAY(),H483=""),TODAY()-E483,"")</f>
        <v/>
      </c>
    </row>
    <row r="484" ht="15" customHeight="1" s="59">
      <c r="C484" s="98">
        <f>IF(B484="","",IFERROR(VLOOKUP(B484,EQUIPEMENTS!A:B,2,0),""))</f>
        <v/>
      </c>
      <c r="E484" s="91" t="n"/>
      <c r="H484" s="91" t="n"/>
      <c r="J484" s="97">
        <f>IF(AND(G484="Planifiée",E484&lt;TODAY(),H484=""),TODAY()-E484,"")</f>
        <v/>
      </c>
    </row>
    <row r="485" ht="15" customHeight="1" s="59">
      <c r="C485" s="98">
        <f>IF(B485="","",IFERROR(VLOOKUP(B485,EQUIPEMENTS!A:B,2,0),""))</f>
        <v/>
      </c>
      <c r="E485" s="91" t="n"/>
      <c r="H485" s="91" t="n"/>
      <c r="J485" s="97">
        <f>IF(AND(G485="Planifiée",E485&lt;TODAY(),H485=""),TODAY()-E485,"")</f>
        <v/>
      </c>
    </row>
    <row r="486" ht="15" customHeight="1" s="59">
      <c r="C486" s="98">
        <f>IF(B486="","",IFERROR(VLOOKUP(B486,EQUIPEMENTS!A:B,2,0),""))</f>
        <v/>
      </c>
      <c r="E486" s="91" t="n"/>
      <c r="H486" s="91" t="n"/>
      <c r="J486" s="97">
        <f>IF(AND(G486="Planifiée",E486&lt;TODAY(),H486=""),TODAY()-E486,"")</f>
        <v/>
      </c>
    </row>
    <row r="487" ht="15" customHeight="1" s="59">
      <c r="C487" s="98">
        <f>IF(B487="","",IFERROR(VLOOKUP(B487,EQUIPEMENTS!A:B,2,0),""))</f>
        <v/>
      </c>
      <c r="E487" s="91" t="n"/>
      <c r="H487" s="91" t="n"/>
      <c r="J487" s="97">
        <f>IF(AND(G487="Planifiée",E487&lt;TODAY(),H487=""),TODAY()-E487,"")</f>
        <v/>
      </c>
    </row>
    <row r="488" ht="15" customHeight="1" s="59">
      <c r="C488" s="98">
        <f>IF(B488="","",IFERROR(VLOOKUP(B488,EQUIPEMENTS!A:B,2,0),""))</f>
        <v/>
      </c>
      <c r="E488" s="91" t="n"/>
      <c r="H488" s="91" t="n"/>
      <c r="J488" s="97">
        <f>IF(AND(G488="Planifiée",E488&lt;TODAY(),H488=""),TODAY()-E488,"")</f>
        <v/>
      </c>
    </row>
    <row r="489" ht="15" customHeight="1" s="59">
      <c r="C489" s="98">
        <f>IF(B489="","",IFERROR(VLOOKUP(B489,EQUIPEMENTS!A:B,2,0),""))</f>
        <v/>
      </c>
      <c r="E489" s="91" t="n"/>
      <c r="H489" s="91" t="n"/>
      <c r="J489" s="97">
        <f>IF(AND(G489="Planifiée",E489&lt;TODAY(),H489=""),TODAY()-E489,"")</f>
        <v/>
      </c>
    </row>
    <row r="490" ht="15" customHeight="1" s="59">
      <c r="C490" s="98">
        <f>IF(B490="","",IFERROR(VLOOKUP(B490,EQUIPEMENTS!A:B,2,0),""))</f>
        <v/>
      </c>
      <c r="E490" s="91" t="n"/>
      <c r="H490" s="91" t="n"/>
      <c r="J490" s="97">
        <f>IF(AND(G490="Planifiée",E490&lt;TODAY(),H490=""),TODAY()-E490,"")</f>
        <v/>
      </c>
    </row>
    <row r="491" ht="15" customHeight="1" s="59">
      <c r="C491" s="98">
        <f>IF(B491="","",IFERROR(VLOOKUP(B491,EQUIPEMENTS!A:B,2,0),""))</f>
        <v/>
      </c>
      <c r="E491" s="91" t="n"/>
      <c r="H491" s="91" t="n"/>
      <c r="J491" s="97">
        <f>IF(AND(G491="Planifiée",E491&lt;TODAY(),H491=""),TODAY()-E491,"")</f>
        <v/>
      </c>
    </row>
    <row r="492" ht="15" customHeight="1" s="59">
      <c r="C492" s="98">
        <f>IF(B492="","",IFERROR(VLOOKUP(B492,EQUIPEMENTS!A:B,2,0),""))</f>
        <v/>
      </c>
      <c r="E492" s="91" t="n"/>
      <c r="H492" s="91" t="n"/>
      <c r="J492" s="97">
        <f>IF(AND(G492="Planifiée",E492&lt;TODAY(),H492=""),TODAY()-E492,"")</f>
        <v/>
      </c>
    </row>
    <row r="493" ht="15" customHeight="1" s="59">
      <c r="C493" s="98">
        <f>IF(B493="","",IFERROR(VLOOKUP(B493,EQUIPEMENTS!A:B,2,0),""))</f>
        <v/>
      </c>
      <c r="E493" s="91" t="n"/>
      <c r="H493" s="91" t="n"/>
      <c r="J493" s="97">
        <f>IF(AND(G493="Planifiée",E493&lt;TODAY(),H493=""),TODAY()-E493,"")</f>
        <v/>
      </c>
    </row>
    <row r="494" ht="15" customHeight="1" s="59">
      <c r="C494" s="98">
        <f>IF(B494="","",IFERROR(VLOOKUP(B494,EQUIPEMENTS!A:B,2,0),""))</f>
        <v/>
      </c>
      <c r="E494" s="91" t="n"/>
      <c r="H494" s="91" t="n"/>
      <c r="J494" s="97">
        <f>IF(AND(G494="Planifiée",E494&lt;TODAY(),H494=""),TODAY()-E494,"")</f>
        <v/>
      </c>
    </row>
    <row r="495" ht="15" customHeight="1" s="59">
      <c r="C495" s="98">
        <f>IF(B495="","",IFERROR(VLOOKUP(B495,EQUIPEMENTS!A:B,2,0),""))</f>
        <v/>
      </c>
      <c r="E495" s="91" t="n"/>
      <c r="H495" s="91" t="n"/>
      <c r="J495" s="97">
        <f>IF(AND(G495="Planifiée",E495&lt;TODAY(),H495=""),TODAY()-E495,"")</f>
        <v/>
      </c>
    </row>
    <row r="496" ht="15" customHeight="1" s="59">
      <c r="C496" s="98">
        <f>IF(B496="","",IFERROR(VLOOKUP(B496,EQUIPEMENTS!A:B,2,0),""))</f>
        <v/>
      </c>
      <c r="E496" s="91" t="n"/>
      <c r="H496" s="91" t="n"/>
      <c r="J496" s="97">
        <f>IF(AND(G496="Planifiée",E496&lt;TODAY(),H496=""),TODAY()-E496,"")</f>
        <v/>
      </c>
    </row>
    <row r="497" ht="15" customHeight="1" s="59">
      <c r="C497" s="98">
        <f>IF(B497="","",IFERROR(VLOOKUP(B497,EQUIPEMENTS!A:B,2,0),""))</f>
        <v/>
      </c>
      <c r="E497" s="91" t="n"/>
      <c r="H497" s="91" t="n"/>
      <c r="J497" s="97">
        <f>IF(AND(G497="Planifiée",E497&lt;TODAY(),H497=""),TODAY()-E497,"")</f>
        <v/>
      </c>
    </row>
    <row r="498" ht="15" customHeight="1" s="59">
      <c r="C498" s="98">
        <f>IF(B498="","",IFERROR(VLOOKUP(B498,EQUIPEMENTS!A:B,2,0),""))</f>
        <v/>
      </c>
      <c r="E498" s="91" t="n"/>
      <c r="H498" s="91" t="n"/>
      <c r="J498" s="97">
        <f>IF(AND(G498="Planifiée",E498&lt;TODAY(),H498=""),TODAY()-E498,"")</f>
        <v/>
      </c>
    </row>
    <row r="499" ht="15" customHeight="1" s="59">
      <c r="C499" s="98">
        <f>IF(B499="","",IFERROR(VLOOKUP(B499,EQUIPEMENTS!A:B,2,0),""))</f>
        <v/>
      </c>
      <c r="E499" s="91" t="n"/>
      <c r="H499" s="91" t="n"/>
      <c r="J499" s="97">
        <f>IF(AND(G499="Planifiée",E499&lt;TODAY(),H499=""),TODAY()-E499,"")</f>
        <v/>
      </c>
    </row>
    <row r="500" ht="15" customHeight="1" s="59">
      <c r="C500" s="98">
        <f>IF(B500="","",IFERROR(VLOOKUP(B500,EQUIPEMENTS!A:B,2,0),""))</f>
        <v/>
      </c>
      <c r="E500" s="91" t="n"/>
      <c r="H500" s="91" t="n"/>
      <c r="J500" s="97">
        <f>IF(AND(G500="Planifiée",E500&lt;TODAY(),H500=""),TODAY()-E500,"")</f>
        <v/>
      </c>
    </row>
  </sheetData>
  <autoFilter ref="A1:K1"/>
  <conditionalFormatting sqref="A2:K500">
    <cfRule type="expression" rank="0" priority="2" equalAverage="0" aboveAverage="0" dxfId="3" text="" percent="0" bottom="0">
      <formula>AND($G2="Planifiée",$E2&lt;TODAY(),$H2="")</formula>
    </cfRule>
  </conditionalFormatting>
  <dataValidations count="4">
    <dataValidation sqref="B2:B500" showDropDown="0" showInputMessage="0" showErrorMessage="0" allowBlank="1" type="list" errorStyle="stop" operator="between">
      <formula1>EQUIPEMENTS!$A$2:$A$500</formula1>
      <formula2>0</formula2>
    </dataValidation>
    <dataValidation sqref="D2:D500" showDropDown="0" showInputMessage="0" showErrorMessage="0" allowBlank="1" type="list" errorStyle="stop" operator="between">
      <formula1>LISTES!$F$2:$F$8</formula1>
      <formula2>0</formula2>
    </dataValidation>
    <dataValidation sqref="F2:F500" showDropDown="0" showInputMessage="0" showErrorMessage="0" allowBlank="1" type="list" errorStyle="stop" operator="between">
      <formula1>TECHNICIENS!$A$2:$A$200</formula1>
      <formula2>0</formula2>
    </dataValidation>
    <dataValidation sqref="G2:G500" showDropDown="0" showInputMessage="0" showErrorMessage="0" allowBlank="1" type="list" errorStyle="stop" operator="between">
      <formula1>LISTES!$E$2:$E$6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6A3595"/>
    <outlinePr summaryBelow="1" summaryRight="1"/>
    <pageSetUpPr fitToPage="0"/>
  </sheetPr>
  <dimension ref="A1:J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58" min="1" max="1"/>
    <col width="30" customWidth="1" style="58" min="2" max="2"/>
    <col width="40" customWidth="1" style="58" min="3" max="3"/>
    <col width="20" customWidth="1" style="58" min="4" max="4"/>
    <col width="18" customWidth="1" style="58" min="5" max="5"/>
    <col width="16" customWidth="1" style="58" min="6" max="6"/>
    <col width="18" customWidth="1" style="58" min="7" max="8"/>
    <col width="20" customWidth="1" style="58" min="9" max="9"/>
    <col width="35" customWidth="1" style="58" min="10" max="10"/>
  </cols>
  <sheetData>
    <row r="1" ht="27.75" customHeight="1" s="59">
      <c r="A1" s="83" t="inlineStr">
        <is>
          <t>Code_Package</t>
        </is>
      </c>
      <c r="B1" s="83" t="inlineStr">
        <is>
          <t>Nom_Package</t>
        </is>
      </c>
      <c r="C1" s="83" t="inlineStr">
        <is>
          <t>Description</t>
        </is>
      </c>
      <c r="D1" s="83" t="inlineStr">
        <is>
          <t>Service</t>
        </is>
      </c>
      <c r="E1" s="83" t="inlineStr">
        <is>
          <t>Technicien_Referent</t>
        </is>
      </c>
      <c r="F1" s="83" t="inlineStr">
        <is>
          <t>Date_Creation</t>
        </is>
      </c>
      <c r="G1" s="83" t="inlineStr">
        <is>
          <t>Statut_Package</t>
        </is>
      </c>
      <c r="H1" s="83" t="inlineStr">
        <is>
          <t>Nb_Equip_Package</t>
        </is>
      </c>
      <c r="I1" s="83" t="inlineStr">
        <is>
          <t>Nb_Composants_Def</t>
        </is>
      </c>
      <c r="J1" s="83" t="inlineStr">
        <is>
          <t>Observation</t>
        </is>
      </c>
    </row>
    <row r="2" ht="19.5" customHeight="1" s="59">
      <c r="A2" s="84" t="inlineStr">
        <is>
          <t>PKG001</t>
        </is>
      </c>
      <c r="B2" s="84" t="inlineStr">
        <is>
          <t>Pack PC Portable HP</t>
        </is>
      </c>
      <c r="C2" s="84" t="inlineStr">
        <is>
          <t>Station accueil + HP EliteBook 840 + alimentation 65W</t>
        </is>
      </c>
      <c r="D2" s="84" t="inlineStr">
        <is>
          <t>Informatique/DSI</t>
        </is>
      </c>
      <c r="E2" s="84" t="inlineStr">
        <is>
          <t>TECH03</t>
        </is>
      </c>
      <c r="F2" s="86" t="inlineStr">
        <is>
          <t>2023-09-01</t>
        </is>
      </c>
      <c r="G2" s="84" t="inlineStr">
        <is>
          <t>Incomplet</t>
        </is>
      </c>
      <c r="H2" s="99">
        <f>IF(A2="","",COUNTIF(EQUIPEMENTS!R:R,A2))</f>
        <v/>
      </c>
      <c r="I2" s="99">
        <f>IF(A2="","",COUNTIFS(COMPOSANTS!O:O,A2,COMPOSANTS!G:G,"Défectueux"))</f>
        <v/>
      </c>
      <c r="J2" s="84" t="inlineStr">
        <is>
          <t>Dalle défectueuse sur le portable</t>
        </is>
      </c>
    </row>
    <row r="3" ht="15" customHeight="1" s="59">
      <c r="A3" s="58" t="n"/>
      <c r="B3" s="58" t="n"/>
      <c r="H3" s="100">
        <f>IF(A3="","",COUNTIF(EQUIPEMENTS!R:R,A3))</f>
        <v/>
      </c>
      <c r="I3" s="100">
        <f>IF(A3="","",COUNTIFS(COMPOSANTS!O:O,A3,COMPOSANTS!G:G,"Défectueux"))</f>
        <v/>
      </c>
    </row>
    <row r="4" ht="15" customHeight="1" s="59">
      <c r="H4" s="100">
        <f>IF(A4="","",COUNTIF(EQUIPEMENTS!R:R,A4))</f>
        <v/>
      </c>
      <c r="I4" s="100">
        <f>IF(A4="","",COUNTIFS(COMPOSANTS!O:O,A4,COMPOSANTS!G:G,"Défectueux"))</f>
        <v/>
      </c>
    </row>
    <row r="5" ht="15" customHeight="1" s="59">
      <c r="H5" s="100">
        <f>IF(A5="","",COUNTIF(EQUIPEMENTS!R:R,A5))</f>
        <v/>
      </c>
      <c r="I5" s="100">
        <f>IF(A5="","",COUNTIFS(COMPOSANTS!O:O,A5,COMPOSANTS!G:G,"Défectueux"))</f>
        <v/>
      </c>
    </row>
    <row r="6" ht="15" customHeight="1" s="59">
      <c r="H6" s="100">
        <f>IF(A6="","",COUNTIF(EQUIPEMENTS!R:R,A6))</f>
        <v/>
      </c>
      <c r="I6" s="100">
        <f>IF(A6="","",COUNTIFS(COMPOSANTS!O:O,A6,COMPOSANTS!G:G,"Défectueux"))</f>
        <v/>
      </c>
    </row>
    <row r="7" ht="15" customHeight="1" s="59">
      <c r="H7" s="100">
        <f>IF(A7="","",COUNTIF(EQUIPEMENTS!R:R,A7))</f>
        <v/>
      </c>
      <c r="I7" s="100">
        <f>IF(A7="","",COUNTIFS(COMPOSANTS!O:O,A7,COMPOSANTS!G:G,"Défectueux"))</f>
        <v/>
      </c>
    </row>
    <row r="8" ht="15" customHeight="1" s="59">
      <c r="H8" s="100">
        <f>IF(A8="","",COUNTIF(EQUIPEMENTS!R:R,A8))</f>
        <v/>
      </c>
      <c r="I8" s="100">
        <f>IF(A8="","",COUNTIFS(COMPOSANTS!O:O,A8,COMPOSANTS!G:G,"Défectueux"))</f>
        <v/>
      </c>
    </row>
    <row r="9" ht="15" customHeight="1" s="59">
      <c r="H9" s="100">
        <f>IF(A9="","",COUNTIF(EQUIPEMENTS!R:R,A9))</f>
        <v/>
      </c>
      <c r="I9" s="100">
        <f>IF(A9="","",COUNTIFS(COMPOSANTS!O:O,A9,COMPOSANTS!G:G,"Défectueux"))</f>
        <v/>
      </c>
    </row>
    <row r="10" ht="15" customHeight="1" s="59">
      <c r="H10" s="100">
        <f>IF(A10="","",COUNTIF(EQUIPEMENTS!R:R,A10))</f>
        <v/>
      </c>
      <c r="I10" s="100">
        <f>IF(A10="","",COUNTIFS(COMPOSANTS!O:O,A10,COMPOSANTS!G:G,"Défectueux"))</f>
        <v/>
      </c>
    </row>
    <row r="11" ht="15" customHeight="1" s="59">
      <c r="H11" s="100">
        <f>IF(A11="","",COUNTIF(EQUIPEMENTS!R:R,A11))</f>
        <v/>
      </c>
      <c r="I11" s="100">
        <f>IF(A11="","",COUNTIFS(COMPOSANTS!O:O,A11,COMPOSANTS!G:G,"Défectueux"))</f>
        <v/>
      </c>
    </row>
    <row r="12" ht="15" customHeight="1" s="59">
      <c r="H12" s="100">
        <f>IF(A12="","",COUNTIF(EQUIPEMENTS!R:R,A12))</f>
        <v/>
      </c>
      <c r="I12" s="100">
        <f>IF(A12="","",COUNTIFS(COMPOSANTS!O:O,A12,COMPOSANTS!G:G,"Défectueux"))</f>
        <v/>
      </c>
    </row>
    <row r="13" ht="15" customHeight="1" s="59">
      <c r="H13" s="100">
        <f>IF(A13="","",COUNTIF(EQUIPEMENTS!R:R,A13))</f>
        <v/>
      </c>
      <c r="I13" s="100">
        <f>IF(A13="","",COUNTIFS(COMPOSANTS!O:O,A13,COMPOSANTS!G:G,"Défectueux"))</f>
        <v/>
      </c>
    </row>
    <row r="14" ht="15" customHeight="1" s="59">
      <c r="H14" s="100">
        <f>IF(A14="","",COUNTIF(EQUIPEMENTS!R:R,A14))</f>
        <v/>
      </c>
      <c r="I14" s="100">
        <f>IF(A14="","",COUNTIFS(COMPOSANTS!O:O,A14,COMPOSANTS!G:G,"Défectueux"))</f>
        <v/>
      </c>
    </row>
    <row r="15" ht="15" customHeight="1" s="59">
      <c r="H15" s="100">
        <f>IF(A15="","",COUNTIF(EQUIPEMENTS!R:R,A15))</f>
        <v/>
      </c>
      <c r="I15" s="100">
        <f>IF(A15="","",COUNTIFS(COMPOSANTS!O:O,A15,COMPOSANTS!G:G,"Défectueux"))</f>
        <v/>
      </c>
    </row>
    <row r="16" ht="15" customHeight="1" s="59">
      <c r="H16" s="100">
        <f>IF(A16="","",COUNTIF(EQUIPEMENTS!R:R,A16))</f>
        <v/>
      </c>
      <c r="I16" s="100">
        <f>IF(A16="","",COUNTIFS(COMPOSANTS!O:O,A16,COMPOSANTS!G:G,"Défectueux"))</f>
        <v/>
      </c>
    </row>
    <row r="17" ht="15" customHeight="1" s="59">
      <c r="H17" s="100">
        <f>IF(A17="","",COUNTIF(EQUIPEMENTS!R:R,A17))</f>
        <v/>
      </c>
      <c r="I17" s="100">
        <f>IF(A17="","",COUNTIFS(COMPOSANTS!O:O,A17,COMPOSANTS!G:G,"Défectueux"))</f>
        <v/>
      </c>
    </row>
    <row r="18" ht="15" customHeight="1" s="59">
      <c r="H18" s="100">
        <f>IF(A18="","",COUNTIF(EQUIPEMENTS!R:R,A18))</f>
        <v/>
      </c>
      <c r="I18" s="100">
        <f>IF(A18="","",COUNTIFS(COMPOSANTS!O:O,A18,COMPOSANTS!G:G,"Défectueux"))</f>
        <v/>
      </c>
    </row>
    <row r="19" ht="15" customHeight="1" s="59">
      <c r="H19" s="100">
        <f>IF(A19="","",COUNTIF(EQUIPEMENTS!R:R,A19))</f>
        <v/>
      </c>
      <c r="I19" s="100">
        <f>IF(A19="","",COUNTIFS(COMPOSANTS!O:O,A19,COMPOSANTS!G:G,"Défectueux"))</f>
        <v/>
      </c>
    </row>
    <row r="20" ht="15" customHeight="1" s="59">
      <c r="H20" s="100">
        <f>IF(A20="","",COUNTIF(EQUIPEMENTS!R:R,A20))</f>
        <v/>
      </c>
      <c r="I20" s="100">
        <f>IF(A20="","",COUNTIFS(COMPOSANTS!O:O,A20,COMPOSANTS!G:G,"Défectueux"))</f>
        <v/>
      </c>
    </row>
    <row r="21" ht="15" customHeight="1" s="59">
      <c r="H21" s="100">
        <f>IF(A21="","",COUNTIF(EQUIPEMENTS!R:R,A21))</f>
        <v/>
      </c>
      <c r="I21" s="100">
        <f>IF(A21="","",COUNTIFS(COMPOSANTS!O:O,A21,COMPOSANTS!G:G,"Défectueux"))</f>
        <v/>
      </c>
    </row>
    <row r="22" ht="15" customHeight="1" s="59">
      <c r="H22" s="100">
        <f>IF(A22="","",COUNTIF(EQUIPEMENTS!R:R,A22))</f>
        <v/>
      </c>
      <c r="I22" s="100">
        <f>IF(A22="","",COUNTIFS(COMPOSANTS!O:O,A22,COMPOSANTS!G:G,"Défectueux"))</f>
        <v/>
      </c>
    </row>
    <row r="23" ht="15" customHeight="1" s="59">
      <c r="H23" s="100">
        <f>IF(A23="","",COUNTIF(EQUIPEMENTS!R:R,A23))</f>
        <v/>
      </c>
      <c r="I23" s="100">
        <f>IF(A23="","",COUNTIFS(COMPOSANTS!O:O,A23,COMPOSANTS!G:G,"Défectueux"))</f>
        <v/>
      </c>
    </row>
    <row r="24" ht="15" customHeight="1" s="59">
      <c r="H24" s="100">
        <f>IF(A24="","",COUNTIF(EQUIPEMENTS!R:R,A24))</f>
        <v/>
      </c>
      <c r="I24" s="100">
        <f>IF(A24="","",COUNTIFS(COMPOSANTS!O:O,A24,COMPOSANTS!G:G,"Défectueux"))</f>
        <v/>
      </c>
    </row>
    <row r="25" ht="15" customHeight="1" s="59">
      <c r="H25" s="100">
        <f>IF(A25="","",COUNTIF(EQUIPEMENTS!R:R,A25))</f>
        <v/>
      </c>
      <c r="I25" s="100">
        <f>IF(A25="","",COUNTIFS(COMPOSANTS!O:O,A25,COMPOSANTS!G:G,"Défectueux"))</f>
        <v/>
      </c>
    </row>
    <row r="26" ht="15" customHeight="1" s="59">
      <c r="H26" s="100">
        <f>IF(A26="","",COUNTIF(EQUIPEMENTS!R:R,A26))</f>
        <v/>
      </c>
      <c r="I26" s="100">
        <f>IF(A26="","",COUNTIFS(COMPOSANTS!O:O,A26,COMPOSANTS!G:G,"Défectueux"))</f>
        <v/>
      </c>
    </row>
    <row r="27" ht="15" customHeight="1" s="59">
      <c r="H27" s="100">
        <f>IF(A27="","",COUNTIF(EQUIPEMENTS!R:R,A27))</f>
        <v/>
      </c>
      <c r="I27" s="100">
        <f>IF(A27="","",COUNTIFS(COMPOSANTS!O:O,A27,COMPOSANTS!G:G,"Défectueux"))</f>
        <v/>
      </c>
    </row>
    <row r="28" ht="15" customHeight="1" s="59">
      <c r="H28" s="100">
        <f>IF(A28="","",COUNTIF(EQUIPEMENTS!R:R,A28))</f>
        <v/>
      </c>
      <c r="I28" s="100">
        <f>IF(A28="","",COUNTIFS(COMPOSANTS!O:O,A28,COMPOSANTS!G:G,"Défectueux"))</f>
        <v/>
      </c>
    </row>
    <row r="29" ht="15" customHeight="1" s="59">
      <c r="H29" s="100">
        <f>IF(A29="","",COUNTIF(EQUIPEMENTS!R:R,A29))</f>
        <v/>
      </c>
      <c r="I29" s="100">
        <f>IF(A29="","",COUNTIFS(COMPOSANTS!O:O,A29,COMPOSANTS!G:G,"Défectueux"))</f>
        <v/>
      </c>
    </row>
    <row r="30" ht="15" customHeight="1" s="59">
      <c r="H30" s="100">
        <f>IF(A30="","",COUNTIF(EQUIPEMENTS!R:R,A30))</f>
        <v/>
      </c>
      <c r="I30" s="100">
        <f>IF(A30="","",COUNTIFS(COMPOSANTS!O:O,A30,COMPOSANTS!G:G,"Défectueux"))</f>
        <v/>
      </c>
    </row>
    <row r="31" ht="15" customHeight="1" s="59">
      <c r="H31" s="100">
        <f>IF(A31="","",COUNTIF(EQUIPEMENTS!R:R,A31))</f>
        <v/>
      </c>
      <c r="I31" s="100">
        <f>IF(A31="","",COUNTIFS(COMPOSANTS!O:O,A31,COMPOSANTS!G:G,"Défectueux"))</f>
        <v/>
      </c>
    </row>
    <row r="32" ht="15" customHeight="1" s="59">
      <c r="H32" s="100">
        <f>IF(A32="","",COUNTIF(EQUIPEMENTS!R:R,A32))</f>
        <v/>
      </c>
      <c r="I32" s="100">
        <f>IF(A32="","",COUNTIFS(COMPOSANTS!O:O,A32,COMPOSANTS!G:G,"Défectueux"))</f>
        <v/>
      </c>
    </row>
    <row r="33" ht="15" customHeight="1" s="59">
      <c r="H33" s="100">
        <f>IF(A33="","",COUNTIF(EQUIPEMENTS!R:R,A33))</f>
        <v/>
      </c>
      <c r="I33" s="100">
        <f>IF(A33="","",COUNTIFS(COMPOSANTS!O:O,A33,COMPOSANTS!G:G,"Défectueux"))</f>
        <v/>
      </c>
    </row>
    <row r="34" ht="15" customHeight="1" s="59">
      <c r="H34" s="100">
        <f>IF(A34="","",COUNTIF(EQUIPEMENTS!R:R,A34))</f>
        <v/>
      </c>
      <c r="I34" s="100">
        <f>IF(A34="","",COUNTIFS(COMPOSANTS!O:O,A34,COMPOSANTS!G:G,"Défectueux"))</f>
        <v/>
      </c>
    </row>
    <row r="35" ht="15" customHeight="1" s="59">
      <c r="H35" s="100">
        <f>IF(A35="","",COUNTIF(EQUIPEMENTS!R:R,A35))</f>
        <v/>
      </c>
      <c r="I35" s="100">
        <f>IF(A35="","",COUNTIFS(COMPOSANTS!O:O,A35,COMPOSANTS!G:G,"Défectueux"))</f>
        <v/>
      </c>
    </row>
    <row r="36" ht="15" customHeight="1" s="59">
      <c r="H36" s="100">
        <f>IF(A36="","",COUNTIF(EQUIPEMENTS!R:R,A36))</f>
        <v/>
      </c>
      <c r="I36" s="100">
        <f>IF(A36="","",COUNTIFS(COMPOSANTS!O:O,A36,COMPOSANTS!G:G,"Défectueux"))</f>
        <v/>
      </c>
    </row>
    <row r="37" ht="15" customHeight="1" s="59">
      <c r="H37" s="100">
        <f>IF(A37="","",COUNTIF(EQUIPEMENTS!R:R,A37))</f>
        <v/>
      </c>
      <c r="I37" s="100">
        <f>IF(A37="","",COUNTIFS(COMPOSANTS!O:O,A37,COMPOSANTS!G:G,"Défectueux"))</f>
        <v/>
      </c>
    </row>
    <row r="38" ht="15" customHeight="1" s="59">
      <c r="H38" s="100">
        <f>IF(A38="","",COUNTIF(EQUIPEMENTS!R:R,A38))</f>
        <v/>
      </c>
      <c r="I38" s="100">
        <f>IF(A38="","",COUNTIFS(COMPOSANTS!O:O,A38,COMPOSANTS!G:G,"Défectueux"))</f>
        <v/>
      </c>
    </row>
    <row r="39" ht="15" customHeight="1" s="59">
      <c r="H39" s="100">
        <f>IF(A39="","",COUNTIF(EQUIPEMENTS!R:R,A39))</f>
        <v/>
      </c>
      <c r="I39" s="100">
        <f>IF(A39="","",COUNTIFS(COMPOSANTS!O:O,A39,COMPOSANTS!G:G,"Défectueux"))</f>
        <v/>
      </c>
    </row>
    <row r="40" ht="15" customHeight="1" s="59">
      <c r="H40" s="100">
        <f>IF(A40="","",COUNTIF(EQUIPEMENTS!R:R,A40))</f>
        <v/>
      </c>
      <c r="I40" s="100">
        <f>IF(A40="","",COUNTIFS(COMPOSANTS!O:O,A40,COMPOSANTS!G:G,"Défectueux"))</f>
        <v/>
      </c>
    </row>
    <row r="41" ht="15" customHeight="1" s="59">
      <c r="H41" s="100">
        <f>IF(A41="","",COUNTIF(EQUIPEMENTS!R:R,A41))</f>
        <v/>
      </c>
      <c r="I41" s="100">
        <f>IF(A41="","",COUNTIFS(COMPOSANTS!O:O,A41,COMPOSANTS!G:G,"Défectueux"))</f>
        <v/>
      </c>
    </row>
    <row r="42" ht="15" customHeight="1" s="59">
      <c r="H42" s="100">
        <f>IF(A42="","",COUNTIF(EQUIPEMENTS!R:R,A42))</f>
        <v/>
      </c>
      <c r="I42" s="100">
        <f>IF(A42="","",COUNTIFS(COMPOSANTS!O:O,A42,COMPOSANTS!G:G,"Défectueux"))</f>
        <v/>
      </c>
    </row>
    <row r="43" ht="15" customHeight="1" s="59">
      <c r="H43" s="100">
        <f>IF(A43="","",COUNTIF(EQUIPEMENTS!R:R,A43))</f>
        <v/>
      </c>
      <c r="I43" s="100">
        <f>IF(A43="","",COUNTIFS(COMPOSANTS!O:O,A43,COMPOSANTS!G:G,"Défectueux"))</f>
        <v/>
      </c>
    </row>
    <row r="44" ht="15" customHeight="1" s="59">
      <c r="H44" s="100">
        <f>IF(A44="","",COUNTIF(EQUIPEMENTS!R:R,A44))</f>
        <v/>
      </c>
      <c r="I44" s="100">
        <f>IF(A44="","",COUNTIFS(COMPOSANTS!O:O,A44,COMPOSANTS!G:G,"Défectueux"))</f>
        <v/>
      </c>
    </row>
    <row r="45" ht="15" customHeight="1" s="59">
      <c r="H45" s="100">
        <f>IF(A45="","",COUNTIF(EQUIPEMENTS!R:R,A45))</f>
        <v/>
      </c>
      <c r="I45" s="100">
        <f>IF(A45="","",COUNTIFS(COMPOSANTS!O:O,A45,COMPOSANTS!G:G,"Défectueux"))</f>
        <v/>
      </c>
    </row>
    <row r="46" ht="15" customHeight="1" s="59">
      <c r="H46" s="100">
        <f>IF(A46="","",COUNTIF(EQUIPEMENTS!R:R,A46))</f>
        <v/>
      </c>
      <c r="I46" s="100">
        <f>IF(A46="","",COUNTIFS(COMPOSANTS!O:O,A46,COMPOSANTS!G:G,"Défectueux"))</f>
        <v/>
      </c>
    </row>
    <row r="47" ht="15" customHeight="1" s="59">
      <c r="H47" s="100">
        <f>IF(A47="","",COUNTIF(EQUIPEMENTS!R:R,A47))</f>
        <v/>
      </c>
      <c r="I47" s="100">
        <f>IF(A47="","",COUNTIFS(COMPOSANTS!O:O,A47,COMPOSANTS!G:G,"Défectueux"))</f>
        <v/>
      </c>
    </row>
    <row r="48" ht="15" customHeight="1" s="59">
      <c r="H48" s="100">
        <f>IF(A48="","",COUNTIF(EQUIPEMENTS!R:R,A48))</f>
        <v/>
      </c>
      <c r="I48" s="100">
        <f>IF(A48="","",COUNTIFS(COMPOSANTS!O:O,A48,COMPOSANTS!G:G,"Défectueux"))</f>
        <v/>
      </c>
    </row>
    <row r="49" ht="15" customHeight="1" s="59">
      <c r="H49" s="100">
        <f>IF(A49="","",COUNTIF(EQUIPEMENTS!R:R,A49))</f>
        <v/>
      </c>
      <c r="I49" s="100">
        <f>IF(A49="","",COUNTIFS(COMPOSANTS!O:O,A49,COMPOSANTS!G:G,"Défectueux"))</f>
        <v/>
      </c>
    </row>
    <row r="50" ht="15" customHeight="1" s="59">
      <c r="H50" s="100">
        <f>IF(A50="","",COUNTIF(EQUIPEMENTS!R:R,A50))</f>
        <v/>
      </c>
      <c r="I50" s="100">
        <f>IF(A50="","",COUNTIFS(COMPOSANTS!O:O,A50,COMPOSANTS!G:G,"Défectueux"))</f>
        <v/>
      </c>
    </row>
    <row r="51" ht="15" customHeight="1" s="59">
      <c r="H51" s="100">
        <f>IF(A51="","",COUNTIF(EQUIPEMENTS!R:R,A51))</f>
        <v/>
      </c>
      <c r="I51" s="100">
        <f>IF(A51="","",COUNTIFS(COMPOSANTS!O:O,A51,COMPOSANTS!G:G,"Défectueux"))</f>
        <v/>
      </c>
    </row>
    <row r="52" ht="15" customHeight="1" s="59">
      <c r="H52" s="100">
        <f>IF(A52="","",COUNTIF(EQUIPEMENTS!R:R,A52))</f>
        <v/>
      </c>
      <c r="I52" s="100">
        <f>IF(A52="","",COUNTIFS(COMPOSANTS!O:O,A52,COMPOSANTS!G:G,"Défectueux"))</f>
        <v/>
      </c>
    </row>
    <row r="53" ht="15" customHeight="1" s="59">
      <c r="H53" s="100">
        <f>IF(A53="","",COUNTIF(EQUIPEMENTS!R:R,A53))</f>
        <v/>
      </c>
      <c r="I53" s="100">
        <f>IF(A53="","",COUNTIFS(COMPOSANTS!O:O,A53,COMPOSANTS!G:G,"Défectueux"))</f>
        <v/>
      </c>
    </row>
    <row r="54" ht="15" customHeight="1" s="59">
      <c r="H54" s="100">
        <f>IF(A54="","",COUNTIF(EQUIPEMENTS!R:R,A54))</f>
        <v/>
      </c>
      <c r="I54" s="100">
        <f>IF(A54="","",COUNTIFS(COMPOSANTS!O:O,A54,COMPOSANTS!G:G,"Défectueux"))</f>
        <v/>
      </c>
    </row>
    <row r="55" ht="15" customHeight="1" s="59">
      <c r="H55" s="100">
        <f>IF(A55="","",COUNTIF(EQUIPEMENTS!R:R,A55))</f>
        <v/>
      </c>
      <c r="I55" s="100">
        <f>IF(A55="","",COUNTIFS(COMPOSANTS!O:O,A55,COMPOSANTS!G:G,"Défectueux"))</f>
        <v/>
      </c>
    </row>
    <row r="56" ht="15" customHeight="1" s="59">
      <c r="H56" s="100">
        <f>IF(A56="","",COUNTIF(EQUIPEMENTS!R:R,A56))</f>
        <v/>
      </c>
      <c r="I56" s="100">
        <f>IF(A56="","",COUNTIFS(COMPOSANTS!O:O,A56,COMPOSANTS!G:G,"Défectueux"))</f>
        <v/>
      </c>
    </row>
    <row r="57" ht="15" customHeight="1" s="59">
      <c r="H57" s="100">
        <f>IF(A57="","",COUNTIF(EQUIPEMENTS!R:R,A57))</f>
        <v/>
      </c>
      <c r="I57" s="100">
        <f>IF(A57="","",COUNTIFS(COMPOSANTS!O:O,A57,COMPOSANTS!G:G,"Défectueux"))</f>
        <v/>
      </c>
    </row>
    <row r="58" ht="15" customHeight="1" s="59">
      <c r="H58" s="100">
        <f>IF(A58="","",COUNTIF(EQUIPEMENTS!R:R,A58))</f>
        <v/>
      </c>
      <c r="I58" s="100">
        <f>IF(A58="","",COUNTIFS(COMPOSANTS!O:O,A58,COMPOSANTS!G:G,"Défectueux"))</f>
        <v/>
      </c>
    </row>
    <row r="59" ht="15" customHeight="1" s="59">
      <c r="H59" s="100">
        <f>IF(A59="","",COUNTIF(EQUIPEMENTS!R:R,A59))</f>
        <v/>
      </c>
      <c r="I59" s="100">
        <f>IF(A59="","",COUNTIFS(COMPOSANTS!O:O,A59,COMPOSANTS!G:G,"Défectueux"))</f>
        <v/>
      </c>
    </row>
    <row r="60" ht="15" customHeight="1" s="59">
      <c r="H60" s="100">
        <f>IF(A60="","",COUNTIF(EQUIPEMENTS!R:R,A60))</f>
        <v/>
      </c>
      <c r="I60" s="100">
        <f>IF(A60="","",COUNTIFS(COMPOSANTS!O:O,A60,COMPOSANTS!G:G,"Défectueux"))</f>
        <v/>
      </c>
    </row>
    <row r="61" ht="15" customHeight="1" s="59">
      <c r="H61" s="100">
        <f>IF(A61="","",COUNTIF(EQUIPEMENTS!R:R,A61))</f>
        <v/>
      </c>
      <c r="I61" s="100">
        <f>IF(A61="","",COUNTIFS(COMPOSANTS!O:O,A61,COMPOSANTS!G:G,"Défectueux"))</f>
        <v/>
      </c>
    </row>
    <row r="62" ht="15" customHeight="1" s="59">
      <c r="H62" s="100">
        <f>IF(A62="","",COUNTIF(EQUIPEMENTS!R:R,A62))</f>
        <v/>
      </c>
      <c r="I62" s="100">
        <f>IF(A62="","",COUNTIFS(COMPOSANTS!O:O,A62,COMPOSANTS!G:G,"Défectueux"))</f>
        <v/>
      </c>
    </row>
    <row r="63" ht="15" customHeight="1" s="59">
      <c r="H63" s="100">
        <f>IF(A63="","",COUNTIF(EQUIPEMENTS!R:R,A63))</f>
        <v/>
      </c>
      <c r="I63" s="100">
        <f>IF(A63="","",COUNTIFS(COMPOSANTS!O:O,A63,COMPOSANTS!G:G,"Défectueux"))</f>
        <v/>
      </c>
    </row>
    <row r="64" ht="15" customHeight="1" s="59">
      <c r="H64" s="100">
        <f>IF(A64="","",COUNTIF(EQUIPEMENTS!R:R,A64))</f>
        <v/>
      </c>
      <c r="I64" s="100">
        <f>IF(A64="","",COUNTIFS(COMPOSANTS!O:O,A64,COMPOSANTS!G:G,"Défectueux"))</f>
        <v/>
      </c>
    </row>
    <row r="65" ht="15" customHeight="1" s="59">
      <c r="H65" s="100">
        <f>IF(A65="","",COUNTIF(EQUIPEMENTS!R:R,A65))</f>
        <v/>
      </c>
      <c r="I65" s="100">
        <f>IF(A65="","",COUNTIFS(COMPOSANTS!O:O,A65,COMPOSANTS!G:G,"Défectueux"))</f>
        <v/>
      </c>
    </row>
    <row r="66" ht="15" customHeight="1" s="59">
      <c r="H66" s="100">
        <f>IF(A66="","",COUNTIF(EQUIPEMENTS!R:R,A66))</f>
        <v/>
      </c>
      <c r="I66" s="100">
        <f>IF(A66="","",COUNTIFS(COMPOSANTS!O:O,A66,COMPOSANTS!G:G,"Défectueux"))</f>
        <v/>
      </c>
    </row>
    <row r="67" ht="15" customHeight="1" s="59">
      <c r="H67" s="100">
        <f>IF(A67="","",COUNTIF(EQUIPEMENTS!R:R,A67))</f>
        <v/>
      </c>
      <c r="I67" s="100">
        <f>IF(A67="","",COUNTIFS(COMPOSANTS!O:O,A67,COMPOSANTS!G:G,"Défectueux"))</f>
        <v/>
      </c>
    </row>
    <row r="68" ht="15" customHeight="1" s="59">
      <c r="H68" s="100">
        <f>IF(A68="","",COUNTIF(EQUIPEMENTS!R:R,A68))</f>
        <v/>
      </c>
      <c r="I68" s="100">
        <f>IF(A68="","",COUNTIFS(COMPOSANTS!O:O,A68,COMPOSANTS!G:G,"Défectueux"))</f>
        <v/>
      </c>
    </row>
    <row r="69" ht="15" customHeight="1" s="59">
      <c r="H69" s="100">
        <f>IF(A69="","",COUNTIF(EQUIPEMENTS!R:R,A69))</f>
        <v/>
      </c>
      <c r="I69" s="100">
        <f>IF(A69="","",COUNTIFS(COMPOSANTS!O:O,A69,COMPOSANTS!G:G,"Défectueux"))</f>
        <v/>
      </c>
    </row>
    <row r="70" ht="15" customHeight="1" s="59">
      <c r="H70" s="100">
        <f>IF(A70="","",COUNTIF(EQUIPEMENTS!R:R,A70))</f>
        <v/>
      </c>
      <c r="I70" s="100">
        <f>IF(A70="","",COUNTIFS(COMPOSANTS!O:O,A70,COMPOSANTS!G:G,"Défectueux"))</f>
        <v/>
      </c>
    </row>
    <row r="71" ht="15" customHeight="1" s="59">
      <c r="H71" s="100">
        <f>IF(A71="","",COUNTIF(EQUIPEMENTS!R:R,A71))</f>
        <v/>
      </c>
      <c r="I71" s="100">
        <f>IF(A71="","",COUNTIFS(COMPOSANTS!O:O,A71,COMPOSANTS!G:G,"Défectueux"))</f>
        <v/>
      </c>
    </row>
    <row r="72" ht="15" customHeight="1" s="59">
      <c r="H72" s="100">
        <f>IF(A72="","",COUNTIF(EQUIPEMENTS!R:R,A72))</f>
        <v/>
      </c>
      <c r="I72" s="100">
        <f>IF(A72="","",COUNTIFS(COMPOSANTS!O:O,A72,COMPOSANTS!G:G,"Défectueux"))</f>
        <v/>
      </c>
    </row>
    <row r="73" ht="15" customHeight="1" s="59">
      <c r="H73" s="100">
        <f>IF(A73="","",COUNTIF(EQUIPEMENTS!R:R,A73))</f>
        <v/>
      </c>
      <c r="I73" s="100">
        <f>IF(A73="","",COUNTIFS(COMPOSANTS!O:O,A73,COMPOSANTS!G:G,"Défectueux"))</f>
        <v/>
      </c>
    </row>
    <row r="74" ht="15" customHeight="1" s="59">
      <c r="H74" s="100">
        <f>IF(A74="","",COUNTIF(EQUIPEMENTS!R:R,A74))</f>
        <v/>
      </c>
      <c r="I74" s="100">
        <f>IF(A74="","",COUNTIFS(COMPOSANTS!O:O,A74,COMPOSANTS!G:G,"Défectueux"))</f>
        <v/>
      </c>
    </row>
    <row r="75" ht="15" customHeight="1" s="59">
      <c r="H75" s="100">
        <f>IF(A75="","",COUNTIF(EQUIPEMENTS!R:R,A75))</f>
        <v/>
      </c>
      <c r="I75" s="100">
        <f>IF(A75="","",COUNTIFS(COMPOSANTS!O:O,A75,COMPOSANTS!G:G,"Défectueux"))</f>
        <v/>
      </c>
    </row>
    <row r="76" ht="15" customHeight="1" s="59">
      <c r="H76" s="100">
        <f>IF(A76="","",COUNTIF(EQUIPEMENTS!R:R,A76))</f>
        <v/>
      </c>
      <c r="I76" s="100">
        <f>IF(A76="","",COUNTIFS(COMPOSANTS!O:O,A76,COMPOSANTS!G:G,"Défectueux"))</f>
        <v/>
      </c>
    </row>
    <row r="77" ht="15" customHeight="1" s="59">
      <c r="H77" s="100">
        <f>IF(A77="","",COUNTIF(EQUIPEMENTS!R:R,A77))</f>
        <v/>
      </c>
      <c r="I77" s="100">
        <f>IF(A77="","",COUNTIFS(COMPOSANTS!O:O,A77,COMPOSANTS!G:G,"Défectueux"))</f>
        <v/>
      </c>
    </row>
    <row r="78" ht="15" customHeight="1" s="59">
      <c r="H78" s="100">
        <f>IF(A78="","",COUNTIF(EQUIPEMENTS!R:R,A78))</f>
        <v/>
      </c>
      <c r="I78" s="100">
        <f>IF(A78="","",COUNTIFS(COMPOSANTS!O:O,A78,COMPOSANTS!G:G,"Défectueux"))</f>
        <v/>
      </c>
    </row>
    <row r="79" ht="15" customHeight="1" s="59">
      <c r="H79" s="100">
        <f>IF(A79="","",COUNTIF(EQUIPEMENTS!R:R,A79))</f>
        <v/>
      </c>
      <c r="I79" s="100">
        <f>IF(A79="","",COUNTIFS(COMPOSANTS!O:O,A79,COMPOSANTS!G:G,"Défectueux"))</f>
        <v/>
      </c>
    </row>
    <row r="80" ht="15" customHeight="1" s="59">
      <c r="H80" s="100">
        <f>IF(A80="","",COUNTIF(EQUIPEMENTS!R:R,A80))</f>
        <v/>
      </c>
      <c r="I80" s="100">
        <f>IF(A80="","",COUNTIFS(COMPOSANTS!O:O,A80,COMPOSANTS!G:G,"Défectueux"))</f>
        <v/>
      </c>
    </row>
    <row r="81" ht="15" customHeight="1" s="59">
      <c r="H81" s="100">
        <f>IF(A81="","",COUNTIF(EQUIPEMENTS!R:R,A81))</f>
        <v/>
      </c>
      <c r="I81" s="100">
        <f>IF(A81="","",COUNTIFS(COMPOSANTS!O:O,A81,COMPOSANTS!G:G,"Défectueux"))</f>
        <v/>
      </c>
    </row>
    <row r="82" ht="15" customHeight="1" s="59">
      <c r="H82" s="100">
        <f>IF(A82="","",COUNTIF(EQUIPEMENTS!R:R,A82))</f>
        <v/>
      </c>
      <c r="I82" s="100">
        <f>IF(A82="","",COUNTIFS(COMPOSANTS!O:O,A82,COMPOSANTS!G:G,"Défectueux"))</f>
        <v/>
      </c>
    </row>
    <row r="83" ht="15" customHeight="1" s="59">
      <c r="H83" s="100">
        <f>IF(A83="","",COUNTIF(EQUIPEMENTS!R:R,A83))</f>
        <v/>
      </c>
      <c r="I83" s="100">
        <f>IF(A83="","",COUNTIFS(COMPOSANTS!O:O,A83,COMPOSANTS!G:G,"Défectueux"))</f>
        <v/>
      </c>
    </row>
    <row r="84" ht="15" customHeight="1" s="59">
      <c r="H84" s="100">
        <f>IF(A84="","",COUNTIF(EQUIPEMENTS!R:R,A84))</f>
        <v/>
      </c>
      <c r="I84" s="100">
        <f>IF(A84="","",COUNTIFS(COMPOSANTS!O:O,A84,COMPOSANTS!G:G,"Défectueux"))</f>
        <v/>
      </c>
    </row>
    <row r="85" ht="15" customHeight="1" s="59">
      <c r="H85" s="100">
        <f>IF(A85="","",COUNTIF(EQUIPEMENTS!R:R,A85))</f>
        <v/>
      </c>
      <c r="I85" s="100">
        <f>IF(A85="","",COUNTIFS(COMPOSANTS!O:O,A85,COMPOSANTS!G:G,"Défectueux"))</f>
        <v/>
      </c>
    </row>
    <row r="86" ht="15" customHeight="1" s="59">
      <c r="H86" s="100">
        <f>IF(A86="","",COUNTIF(EQUIPEMENTS!R:R,A86))</f>
        <v/>
      </c>
      <c r="I86" s="100">
        <f>IF(A86="","",COUNTIFS(COMPOSANTS!O:O,A86,COMPOSANTS!G:G,"Défectueux"))</f>
        <v/>
      </c>
    </row>
    <row r="87" ht="15" customHeight="1" s="59">
      <c r="H87" s="100">
        <f>IF(A87="","",COUNTIF(EQUIPEMENTS!R:R,A87))</f>
        <v/>
      </c>
      <c r="I87" s="100">
        <f>IF(A87="","",COUNTIFS(COMPOSANTS!O:O,A87,COMPOSANTS!G:G,"Défectueux"))</f>
        <v/>
      </c>
    </row>
    <row r="88" ht="15" customHeight="1" s="59">
      <c r="H88" s="100">
        <f>IF(A88="","",COUNTIF(EQUIPEMENTS!R:R,A88))</f>
        <v/>
      </c>
      <c r="I88" s="100">
        <f>IF(A88="","",COUNTIFS(COMPOSANTS!O:O,A88,COMPOSANTS!G:G,"Défectueux"))</f>
        <v/>
      </c>
    </row>
    <row r="89" ht="15" customHeight="1" s="59">
      <c r="H89" s="100">
        <f>IF(A89="","",COUNTIF(EQUIPEMENTS!R:R,A89))</f>
        <v/>
      </c>
      <c r="I89" s="100">
        <f>IF(A89="","",COUNTIFS(COMPOSANTS!O:O,A89,COMPOSANTS!G:G,"Défectueux"))</f>
        <v/>
      </c>
    </row>
    <row r="90" ht="15" customHeight="1" s="59">
      <c r="H90" s="100">
        <f>IF(A90="","",COUNTIF(EQUIPEMENTS!R:R,A90))</f>
        <v/>
      </c>
      <c r="I90" s="100">
        <f>IF(A90="","",COUNTIFS(COMPOSANTS!O:O,A90,COMPOSANTS!G:G,"Défectueux"))</f>
        <v/>
      </c>
    </row>
    <row r="91" ht="15" customHeight="1" s="59">
      <c r="H91" s="100">
        <f>IF(A91="","",COUNTIF(EQUIPEMENTS!R:R,A91))</f>
        <v/>
      </c>
      <c r="I91" s="100">
        <f>IF(A91="","",COUNTIFS(COMPOSANTS!O:O,A91,COMPOSANTS!G:G,"Défectueux"))</f>
        <v/>
      </c>
    </row>
    <row r="92" ht="15" customHeight="1" s="59">
      <c r="H92" s="100">
        <f>IF(A92="","",COUNTIF(EQUIPEMENTS!R:R,A92))</f>
        <v/>
      </c>
      <c r="I92" s="100">
        <f>IF(A92="","",COUNTIFS(COMPOSANTS!O:O,A92,COMPOSANTS!G:G,"Défectueux"))</f>
        <v/>
      </c>
    </row>
    <row r="93" ht="15" customHeight="1" s="59">
      <c r="H93" s="100">
        <f>IF(A93="","",COUNTIF(EQUIPEMENTS!R:R,A93))</f>
        <v/>
      </c>
      <c r="I93" s="100">
        <f>IF(A93="","",COUNTIFS(COMPOSANTS!O:O,A93,COMPOSANTS!G:G,"Défectueux"))</f>
        <v/>
      </c>
    </row>
    <row r="94" ht="15" customHeight="1" s="59">
      <c r="H94" s="100">
        <f>IF(A94="","",COUNTIF(EQUIPEMENTS!R:R,A94))</f>
        <v/>
      </c>
      <c r="I94" s="100">
        <f>IF(A94="","",COUNTIFS(COMPOSANTS!O:O,A94,COMPOSANTS!G:G,"Défectueux"))</f>
        <v/>
      </c>
    </row>
    <row r="95" ht="15" customHeight="1" s="59">
      <c r="H95" s="100">
        <f>IF(A95="","",COUNTIF(EQUIPEMENTS!R:R,A95))</f>
        <v/>
      </c>
      <c r="I95" s="100">
        <f>IF(A95="","",COUNTIFS(COMPOSANTS!O:O,A95,COMPOSANTS!G:G,"Défectueux"))</f>
        <v/>
      </c>
    </row>
    <row r="96" ht="15" customHeight="1" s="59">
      <c r="H96" s="100">
        <f>IF(A96="","",COUNTIF(EQUIPEMENTS!R:R,A96))</f>
        <v/>
      </c>
      <c r="I96" s="100">
        <f>IF(A96="","",COUNTIFS(COMPOSANTS!O:O,A96,COMPOSANTS!G:G,"Défectueux"))</f>
        <v/>
      </c>
    </row>
    <row r="97" ht="15" customHeight="1" s="59">
      <c r="H97" s="100">
        <f>IF(A97="","",COUNTIF(EQUIPEMENTS!R:R,A97))</f>
        <v/>
      </c>
      <c r="I97" s="100">
        <f>IF(A97="","",COUNTIFS(COMPOSANTS!O:O,A97,COMPOSANTS!G:G,"Défectueux"))</f>
        <v/>
      </c>
    </row>
    <row r="98" ht="15" customHeight="1" s="59">
      <c r="H98" s="100">
        <f>IF(A98="","",COUNTIF(EQUIPEMENTS!R:R,A98))</f>
        <v/>
      </c>
      <c r="I98" s="100">
        <f>IF(A98="","",COUNTIFS(COMPOSANTS!O:O,A98,COMPOSANTS!G:G,"Défectueux"))</f>
        <v/>
      </c>
    </row>
    <row r="99" ht="15" customHeight="1" s="59">
      <c r="H99" s="100">
        <f>IF(A99="","",COUNTIF(EQUIPEMENTS!R:R,A99))</f>
        <v/>
      </c>
      <c r="I99" s="100">
        <f>IF(A99="","",COUNTIFS(COMPOSANTS!O:O,A99,COMPOSANTS!G:G,"Défectueux"))</f>
        <v/>
      </c>
    </row>
    <row r="100" ht="15" customHeight="1" s="59">
      <c r="H100" s="100">
        <f>IF(A100="","",COUNTIF(EQUIPEMENTS!R:R,A100))</f>
        <v/>
      </c>
      <c r="I100" s="100">
        <f>IF(A100="","",COUNTIFS(COMPOSANTS!O:O,A100,COMPOSANTS!G:G,"Défectueux"))</f>
        <v/>
      </c>
    </row>
    <row r="101" ht="15" customHeight="1" s="59">
      <c r="H101" s="100">
        <f>IF(A101="","",COUNTIF(EQUIPEMENTS!R:R,A101))</f>
        <v/>
      </c>
      <c r="I101" s="100">
        <f>IF(A101="","",COUNTIFS(COMPOSANTS!O:O,A101,COMPOSANTS!G:G,"Défectueux"))</f>
        <v/>
      </c>
    </row>
    <row r="102" ht="15" customHeight="1" s="59">
      <c r="H102" s="100">
        <f>IF(A102="","",COUNTIF(EQUIPEMENTS!R:R,A102))</f>
        <v/>
      </c>
      <c r="I102" s="100">
        <f>IF(A102="","",COUNTIFS(COMPOSANTS!O:O,A102,COMPOSANTS!G:G,"Défectueux"))</f>
        <v/>
      </c>
    </row>
    <row r="103" ht="15" customHeight="1" s="59">
      <c r="H103" s="100">
        <f>IF(A103="","",COUNTIF(EQUIPEMENTS!R:R,A103))</f>
        <v/>
      </c>
      <c r="I103" s="100">
        <f>IF(A103="","",COUNTIFS(COMPOSANTS!O:O,A103,COMPOSANTS!G:G,"Défectueux"))</f>
        <v/>
      </c>
    </row>
    <row r="104" ht="15" customHeight="1" s="59">
      <c r="H104" s="100">
        <f>IF(A104="","",COUNTIF(EQUIPEMENTS!R:R,A104))</f>
        <v/>
      </c>
      <c r="I104" s="100">
        <f>IF(A104="","",COUNTIFS(COMPOSANTS!O:O,A104,COMPOSANTS!G:G,"Défectueux"))</f>
        <v/>
      </c>
    </row>
    <row r="105" ht="15" customHeight="1" s="59">
      <c r="H105" s="100">
        <f>IF(A105="","",COUNTIF(EQUIPEMENTS!R:R,A105))</f>
        <v/>
      </c>
      <c r="I105" s="100">
        <f>IF(A105="","",COUNTIFS(COMPOSANTS!O:O,A105,COMPOSANTS!G:G,"Défectueux"))</f>
        <v/>
      </c>
    </row>
    <row r="106" ht="15" customHeight="1" s="59">
      <c r="H106" s="100">
        <f>IF(A106="","",COUNTIF(EQUIPEMENTS!R:R,A106))</f>
        <v/>
      </c>
      <c r="I106" s="100">
        <f>IF(A106="","",COUNTIFS(COMPOSANTS!O:O,A106,COMPOSANTS!G:G,"Défectueux"))</f>
        <v/>
      </c>
    </row>
    <row r="107" ht="15" customHeight="1" s="59">
      <c r="H107" s="100">
        <f>IF(A107="","",COUNTIF(EQUIPEMENTS!R:R,A107))</f>
        <v/>
      </c>
      <c r="I107" s="100">
        <f>IF(A107="","",COUNTIFS(COMPOSANTS!O:O,A107,COMPOSANTS!G:G,"Défectueux"))</f>
        <v/>
      </c>
    </row>
    <row r="108" ht="15" customHeight="1" s="59">
      <c r="H108" s="100">
        <f>IF(A108="","",COUNTIF(EQUIPEMENTS!R:R,A108))</f>
        <v/>
      </c>
      <c r="I108" s="100">
        <f>IF(A108="","",COUNTIFS(COMPOSANTS!O:O,A108,COMPOSANTS!G:G,"Défectueux"))</f>
        <v/>
      </c>
    </row>
    <row r="109" ht="15" customHeight="1" s="59">
      <c r="H109" s="100">
        <f>IF(A109="","",COUNTIF(EQUIPEMENTS!R:R,A109))</f>
        <v/>
      </c>
      <c r="I109" s="100">
        <f>IF(A109="","",COUNTIFS(COMPOSANTS!O:O,A109,COMPOSANTS!G:G,"Défectueux"))</f>
        <v/>
      </c>
    </row>
    <row r="110" ht="15" customHeight="1" s="59">
      <c r="H110" s="100">
        <f>IF(A110="","",COUNTIF(EQUIPEMENTS!R:R,A110))</f>
        <v/>
      </c>
      <c r="I110" s="100">
        <f>IF(A110="","",COUNTIFS(COMPOSANTS!O:O,A110,COMPOSANTS!G:G,"Défectueux"))</f>
        <v/>
      </c>
    </row>
    <row r="111" ht="15" customHeight="1" s="59">
      <c r="H111" s="100">
        <f>IF(A111="","",COUNTIF(EQUIPEMENTS!R:R,A111))</f>
        <v/>
      </c>
      <c r="I111" s="100">
        <f>IF(A111="","",COUNTIFS(COMPOSANTS!O:O,A111,COMPOSANTS!G:G,"Défectueux"))</f>
        <v/>
      </c>
    </row>
    <row r="112" ht="15" customHeight="1" s="59">
      <c r="H112" s="100">
        <f>IF(A112="","",COUNTIF(EQUIPEMENTS!R:R,A112))</f>
        <v/>
      </c>
      <c r="I112" s="100">
        <f>IF(A112="","",COUNTIFS(COMPOSANTS!O:O,A112,COMPOSANTS!G:G,"Défectueux"))</f>
        <v/>
      </c>
    </row>
    <row r="113" ht="15" customHeight="1" s="59">
      <c r="H113" s="100">
        <f>IF(A113="","",COUNTIF(EQUIPEMENTS!R:R,A113))</f>
        <v/>
      </c>
      <c r="I113" s="100">
        <f>IF(A113="","",COUNTIFS(COMPOSANTS!O:O,A113,COMPOSANTS!G:G,"Défectueux"))</f>
        <v/>
      </c>
    </row>
    <row r="114" ht="15" customHeight="1" s="59">
      <c r="H114" s="100">
        <f>IF(A114="","",COUNTIF(EQUIPEMENTS!R:R,A114))</f>
        <v/>
      </c>
      <c r="I114" s="100">
        <f>IF(A114="","",COUNTIFS(COMPOSANTS!O:O,A114,COMPOSANTS!G:G,"Défectueux"))</f>
        <v/>
      </c>
    </row>
    <row r="115" ht="15" customHeight="1" s="59">
      <c r="H115" s="100">
        <f>IF(A115="","",COUNTIF(EQUIPEMENTS!R:R,A115))</f>
        <v/>
      </c>
      <c r="I115" s="100">
        <f>IF(A115="","",COUNTIFS(COMPOSANTS!O:O,A115,COMPOSANTS!G:G,"Défectueux"))</f>
        <v/>
      </c>
    </row>
    <row r="116" ht="15" customHeight="1" s="59">
      <c r="H116" s="100">
        <f>IF(A116="","",COUNTIF(EQUIPEMENTS!R:R,A116))</f>
        <v/>
      </c>
      <c r="I116" s="100">
        <f>IF(A116="","",COUNTIFS(COMPOSANTS!O:O,A116,COMPOSANTS!G:G,"Défectueux"))</f>
        <v/>
      </c>
    </row>
    <row r="117" ht="15" customHeight="1" s="59">
      <c r="H117" s="100">
        <f>IF(A117="","",COUNTIF(EQUIPEMENTS!R:R,A117))</f>
        <v/>
      </c>
      <c r="I117" s="100">
        <f>IF(A117="","",COUNTIFS(COMPOSANTS!O:O,A117,COMPOSANTS!G:G,"Défectueux"))</f>
        <v/>
      </c>
    </row>
    <row r="118" ht="15" customHeight="1" s="59">
      <c r="H118" s="100">
        <f>IF(A118="","",COUNTIF(EQUIPEMENTS!R:R,A118))</f>
        <v/>
      </c>
      <c r="I118" s="100">
        <f>IF(A118="","",COUNTIFS(COMPOSANTS!O:O,A118,COMPOSANTS!G:G,"Défectueux"))</f>
        <v/>
      </c>
    </row>
    <row r="119" ht="15" customHeight="1" s="59">
      <c r="H119" s="100">
        <f>IF(A119="","",COUNTIF(EQUIPEMENTS!R:R,A119))</f>
        <v/>
      </c>
      <c r="I119" s="100">
        <f>IF(A119="","",COUNTIFS(COMPOSANTS!O:O,A119,COMPOSANTS!G:G,"Défectueux"))</f>
        <v/>
      </c>
    </row>
    <row r="120" ht="15" customHeight="1" s="59">
      <c r="H120" s="100">
        <f>IF(A120="","",COUNTIF(EQUIPEMENTS!R:R,A120))</f>
        <v/>
      </c>
      <c r="I120" s="100">
        <f>IF(A120="","",COUNTIFS(COMPOSANTS!O:O,A120,COMPOSANTS!G:G,"Défectueux"))</f>
        <v/>
      </c>
    </row>
    <row r="121" ht="15" customHeight="1" s="59">
      <c r="H121" s="100">
        <f>IF(A121="","",COUNTIF(EQUIPEMENTS!R:R,A121))</f>
        <v/>
      </c>
      <c r="I121" s="100">
        <f>IF(A121="","",COUNTIFS(COMPOSANTS!O:O,A121,COMPOSANTS!G:G,"Défectueux"))</f>
        <v/>
      </c>
    </row>
    <row r="122" ht="15" customHeight="1" s="59">
      <c r="H122" s="100">
        <f>IF(A122="","",COUNTIF(EQUIPEMENTS!R:R,A122))</f>
        <v/>
      </c>
      <c r="I122" s="100">
        <f>IF(A122="","",COUNTIFS(COMPOSANTS!O:O,A122,COMPOSANTS!G:G,"Défectueux"))</f>
        <v/>
      </c>
    </row>
    <row r="123" ht="15" customHeight="1" s="59">
      <c r="H123" s="100">
        <f>IF(A123="","",COUNTIF(EQUIPEMENTS!R:R,A123))</f>
        <v/>
      </c>
      <c r="I123" s="100">
        <f>IF(A123="","",COUNTIFS(COMPOSANTS!O:O,A123,COMPOSANTS!G:G,"Défectueux"))</f>
        <v/>
      </c>
    </row>
    <row r="124" ht="15" customHeight="1" s="59">
      <c r="H124" s="100">
        <f>IF(A124="","",COUNTIF(EQUIPEMENTS!R:R,A124))</f>
        <v/>
      </c>
      <c r="I124" s="100">
        <f>IF(A124="","",COUNTIFS(COMPOSANTS!O:O,A124,COMPOSANTS!G:G,"Défectueux"))</f>
        <v/>
      </c>
    </row>
    <row r="125" ht="15" customHeight="1" s="59">
      <c r="H125" s="100">
        <f>IF(A125="","",COUNTIF(EQUIPEMENTS!R:R,A125))</f>
        <v/>
      </c>
      <c r="I125" s="100">
        <f>IF(A125="","",COUNTIFS(COMPOSANTS!O:O,A125,COMPOSANTS!G:G,"Défectueux"))</f>
        <v/>
      </c>
    </row>
    <row r="126" ht="15" customHeight="1" s="59">
      <c r="H126" s="100">
        <f>IF(A126="","",COUNTIF(EQUIPEMENTS!R:R,A126))</f>
        <v/>
      </c>
      <c r="I126" s="100">
        <f>IF(A126="","",COUNTIFS(COMPOSANTS!O:O,A126,COMPOSANTS!G:G,"Défectueux"))</f>
        <v/>
      </c>
    </row>
    <row r="127" ht="15" customHeight="1" s="59">
      <c r="H127" s="100">
        <f>IF(A127="","",COUNTIF(EQUIPEMENTS!R:R,A127))</f>
        <v/>
      </c>
      <c r="I127" s="100">
        <f>IF(A127="","",COUNTIFS(COMPOSANTS!O:O,A127,COMPOSANTS!G:G,"Défectueux"))</f>
        <v/>
      </c>
    </row>
    <row r="128" ht="15" customHeight="1" s="59">
      <c r="H128" s="100">
        <f>IF(A128="","",COUNTIF(EQUIPEMENTS!R:R,A128))</f>
        <v/>
      </c>
      <c r="I128" s="100">
        <f>IF(A128="","",COUNTIFS(COMPOSANTS!O:O,A128,COMPOSANTS!G:G,"Défectueux"))</f>
        <v/>
      </c>
    </row>
    <row r="129" ht="15" customHeight="1" s="59">
      <c r="H129" s="100">
        <f>IF(A129="","",COUNTIF(EQUIPEMENTS!R:R,A129))</f>
        <v/>
      </c>
      <c r="I129" s="100">
        <f>IF(A129="","",COUNTIFS(COMPOSANTS!O:O,A129,COMPOSANTS!G:G,"Défectueux"))</f>
        <v/>
      </c>
    </row>
    <row r="130" ht="15" customHeight="1" s="59">
      <c r="H130" s="100">
        <f>IF(A130="","",COUNTIF(EQUIPEMENTS!R:R,A130))</f>
        <v/>
      </c>
      <c r="I130" s="100">
        <f>IF(A130="","",COUNTIFS(COMPOSANTS!O:O,A130,COMPOSANTS!G:G,"Défectueux"))</f>
        <v/>
      </c>
    </row>
    <row r="131" ht="15" customHeight="1" s="59">
      <c r="H131" s="100">
        <f>IF(A131="","",COUNTIF(EQUIPEMENTS!R:R,A131))</f>
        <v/>
      </c>
      <c r="I131" s="100">
        <f>IF(A131="","",COUNTIFS(COMPOSANTS!O:O,A131,COMPOSANTS!G:G,"Défectueux"))</f>
        <v/>
      </c>
    </row>
    <row r="132" ht="15" customHeight="1" s="59">
      <c r="H132" s="100">
        <f>IF(A132="","",COUNTIF(EQUIPEMENTS!R:R,A132))</f>
        <v/>
      </c>
      <c r="I132" s="100">
        <f>IF(A132="","",COUNTIFS(COMPOSANTS!O:O,A132,COMPOSANTS!G:G,"Défectueux"))</f>
        <v/>
      </c>
    </row>
    <row r="133" ht="15" customHeight="1" s="59">
      <c r="H133" s="100">
        <f>IF(A133="","",COUNTIF(EQUIPEMENTS!R:R,A133))</f>
        <v/>
      </c>
      <c r="I133" s="100">
        <f>IF(A133="","",COUNTIFS(COMPOSANTS!O:O,A133,COMPOSANTS!G:G,"Défectueux"))</f>
        <v/>
      </c>
    </row>
    <row r="134" ht="15" customHeight="1" s="59">
      <c r="H134" s="100">
        <f>IF(A134="","",COUNTIF(EQUIPEMENTS!R:R,A134))</f>
        <v/>
      </c>
      <c r="I134" s="100">
        <f>IF(A134="","",COUNTIFS(COMPOSANTS!O:O,A134,COMPOSANTS!G:G,"Défectueux"))</f>
        <v/>
      </c>
    </row>
    <row r="135" ht="15" customHeight="1" s="59">
      <c r="H135" s="100">
        <f>IF(A135="","",COUNTIF(EQUIPEMENTS!R:R,A135))</f>
        <v/>
      </c>
      <c r="I135" s="100">
        <f>IF(A135="","",COUNTIFS(COMPOSANTS!O:O,A135,COMPOSANTS!G:G,"Défectueux"))</f>
        <v/>
      </c>
    </row>
    <row r="136" ht="15" customHeight="1" s="59">
      <c r="H136" s="100">
        <f>IF(A136="","",COUNTIF(EQUIPEMENTS!R:R,A136))</f>
        <v/>
      </c>
      <c r="I136" s="100">
        <f>IF(A136="","",COUNTIFS(COMPOSANTS!O:O,A136,COMPOSANTS!G:G,"Défectueux"))</f>
        <v/>
      </c>
    </row>
    <row r="137" ht="15" customHeight="1" s="59">
      <c r="H137" s="100">
        <f>IF(A137="","",COUNTIF(EQUIPEMENTS!R:R,A137))</f>
        <v/>
      </c>
      <c r="I137" s="100">
        <f>IF(A137="","",COUNTIFS(COMPOSANTS!O:O,A137,COMPOSANTS!G:G,"Défectueux"))</f>
        <v/>
      </c>
    </row>
    <row r="138" ht="15" customHeight="1" s="59">
      <c r="H138" s="100">
        <f>IF(A138="","",COUNTIF(EQUIPEMENTS!R:R,A138))</f>
        <v/>
      </c>
      <c r="I138" s="100">
        <f>IF(A138="","",COUNTIFS(COMPOSANTS!O:O,A138,COMPOSANTS!G:G,"Défectueux"))</f>
        <v/>
      </c>
    </row>
    <row r="139" ht="15" customHeight="1" s="59">
      <c r="H139" s="100">
        <f>IF(A139="","",COUNTIF(EQUIPEMENTS!R:R,A139))</f>
        <v/>
      </c>
      <c r="I139" s="100">
        <f>IF(A139="","",COUNTIFS(COMPOSANTS!O:O,A139,COMPOSANTS!G:G,"Défectueux"))</f>
        <v/>
      </c>
    </row>
    <row r="140" ht="15" customHeight="1" s="59">
      <c r="H140" s="100">
        <f>IF(A140="","",COUNTIF(EQUIPEMENTS!R:R,A140))</f>
        <v/>
      </c>
      <c r="I140" s="100">
        <f>IF(A140="","",COUNTIFS(COMPOSANTS!O:O,A140,COMPOSANTS!G:G,"Défectueux"))</f>
        <v/>
      </c>
    </row>
    <row r="141" ht="15" customHeight="1" s="59">
      <c r="H141" s="100">
        <f>IF(A141="","",COUNTIF(EQUIPEMENTS!R:R,A141))</f>
        <v/>
      </c>
      <c r="I141" s="100">
        <f>IF(A141="","",COUNTIFS(COMPOSANTS!O:O,A141,COMPOSANTS!G:G,"Défectueux"))</f>
        <v/>
      </c>
    </row>
    <row r="142" ht="15" customHeight="1" s="59">
      <c r="H142" s="100">
        <f>IF(A142="","",COUNTIF(EQUIPEMENTS!R:R,A142))</f>
        <v/>
      </c>
      <c r="I142" s="100">
        <f>IF(A142="","",COUNTIFS(COMPOSANTS!O:O,A142,COMPOSANTS!G:G,"Défectueux"))</f>
        <v/>
      </c>
    </row>
    <row r="143" ht="15" customHeight="1" s="59">
      <c r="H143" s="100">
        <f>IF(A143="","",COUNTIF(EQUIPEMENTS!R:R,A143))</f>
        <v/>
      </c>
      <c r="I143" s="100">
        <f>IF(A143="","",COUNTIFS(COMPOSANTS!O:O,A143,COMPOSANTS!G:G,"Défectueux"))</f>
        <v/>
      </c>
    </row>
    <row r="144" ht="15" customHeight="1" s="59">
      <c r="H144" s="100">
        <f>IF(A144="","",COUNTIF(EQUIPEMENTS!R:R,A144))</f>
        <v/>
      </c>
      <c r="I144" s="100">
        <f>IF(A144="","",COUNTIFS(COMPOSANTS!O:O,A144,COMPOSANTS!G:G,"Défectueux"))</f>
        <v/>
      </c>
    </row>
    <row r="145" ht="15" customHeight="1" s="59">
      <c r="H145" s="100">
        <f>IF(A145="","",COUNTIF(EQUIPEMENTS!R:R,A145))</f>
        <v/>
      </c>
      <c r="I145" s="100">
        <f>IF(A145="","",COUNTIFS(COMPOSANTS!O:O,A145,COMPOSANTS!G:G,"Défectueux"))</f>
        <v/>
      </c>
    </row>
    <row r="146" ht="15" customHeight="1" s="59">
      <c r="H146" s="100">
        <f>IF(A146="","",COUNTIF(EQUIPEMENTS!R:R,A146))</f>
        <v/>
      </c>
      <c r="I146" s="100">
        <f>IF(A146="","",COUNTIFS(COMPOSANTS!O:O,A146,COMPOSANTS!G:G,"Défectueux"))</f>
        <v/>
      </c>
    </row>
    <row r="147" ht="15" customHeight="1" s="59">
      <c r="H147" s="100">
        <f>IF(A147="","",COUNTIF(EQUIPEMENTS!R:R,A147))</f>
        <v/>
      </c>
      <c r="I147" s="100">
        <f>IF(A147="","",COUNTIFS(COMPOSANTS!O:O,A147,COMPOSANTS!G:G,"Défectueux"))</f>
        <v/>
      </c>
    </row>
    <row r="148" ht="15" customHeight="1" s="59">
      <c r="H148" s="100">
        <f>IF(A148="","",COUNTIF(EQUIPEMENTS!R:R,A148))</f>
        <v/>
      </c>
      <c r="I148" s="100">
        <f>IF(A148="","",COUNTIFS(COMPOSANTS!O:O,A148,COMPOSANTS!G:G,"Défectueux"))</f>
        <v/>
      </c>
    </row>
    <row r="149" ht="15" customHeight="1" s="59">
      <c r="H149" s="100">
        <f>IF(A149="","",COUNTIF(EQUIPEMENTS!R:R,A149))</f>
        <v/>
      </c>
      <c r="I149" s="100">
        <f>IF(A149="","",COUNTIFS(COMPOSANTS!O:O,A149,COMPOSANTS!G:G,"Défectueux"))</f>
        <v/>
      </c>
    </row>
    <row r="150" ht="15" customHeight="1" s="59">
      <c r="H150" s="100">
        <f>IF(A150="","",COUNTIF(EQUIPEMENTS!R:R,A150))</f>
        <v/>
      </c>
      <c r="I150" s="100">
        <f>IF(A150="","",COUNTIFS(COMPOSANTS!O:O,A150,COMPOSANTS!G:G,"Défectueux"))</f>
        <v/>
      </c>
    </row>
    <row r="151" ht="15" customHeight="1" s="59">
      <c r="H151" s="100">
        <f>IF(A151="","",COUNTIF(EQUIPEMENTS!R:R,A151))</f>
        <v/>
      </c>
      <c r="I151" s="100">
        <f>IF(A151="","",COUNTIFS(COMPOSANTS!O:O,A151,COMPOSANTS!G:G,"Défectueux"))</f>
        <v/>
      </c>
    </row>
    <row r="152" ht="15" customHeight="1" s="59">
      <c r="H152" s="100">
        <f>IF(A152="","",COUNTIF(EQUIPEMENTS!R:R,A152))</f>
        <v/>
      </c>
      <c r="I152" s="100">
        <f>IF(A152="","",COUNTIFS(COMPOSANTS!O:O,A152,COMPOSANTS!G:G,"Défectueux"))</f>
        <v/>
      </c>
    </row>
    <row r="153" ht="15" customHeight="1" s="59">
      <c r="H153" s="100">
        <f>IF(A153="","",COUNTIF(EQUIPEMENTS!R:R,A153))</f>
        <v/>
      </c>
      <c r="I153" s="100">
        <f>IF(A153="","",COUNTIFS(COMPOSANTS!O:O,A153,COMPOSANTS!G:G,"Défectueux"))</f>
        <v/>
      </c>
    </row>
    <row r="154" ht="15" customHeight="1" s="59">
      <c r="H154" s="100">
        <f>IF(A154="","",COUNTIF(EQUIPEMENTS!R:R,A154))</f>
        <v/>
      </c>
      <c r="I154" s="100">
        <f>IF(A154="","",COUNTIFS(COMPOSANTS!O:O,A154,COMPOSANTS!G:G,"Défectueux"))</f>
        <v/>
      </c>
    </row>
    <row r="155" ht="15" customHeight="1" s="59">
      <c r="H155" s="100">
        <f>IF(A155="","",COUNTIF(EQUIPEMENTS!R:R,A155))</f>
        <v/>
      </c>
      <c r="I155" s="100">
        <f>IF(A155="","",COUNTIFS(COMPOSANTS!O:O,A155,COMPOSANTS!G:G,"Défectueux"))</f>
        <v/>
      </c>
    </row>
    <row r="156" ht="15" customHeight="1" s="59">
      <c r="H156" s="100">
        <f>IF(A156="","",COUNTIF(EQUIPEMENTS!R:R,A156))</f>
        <v/>
      </c>
      <c r="I156" s="100">
        <f>IF(A156="","",COUNTIFS(COMPOSANTS!O:O,A156,COMPOSANTS!G:G,"Défectueux"))</f>
        <v/>
      </c>
    </row>
    <row r="157" ht="15" customHeight="1" s="59">
      <c r="H157" s="100">
        <f>IF(A157="","",COUNTIF(EQUIPEMENTS!R:R,A157))</f>
        <v/>
      </c>
      <c r="I157" s="100">
        <f>IF(A157="","",COUNTIFS(COMPOSANTS!O:O,A157,COMPOSANTS!G:G,"Défectueux"))</f>
        <v/>
      </c>
    </row>
    <row r="158" ht="15" customHeight="1" s="59">
      <c r="H158" s="100">
        <f>IF(A158="","",COUNTIF(EQUIPEMENTS!R:R,A158))</f>
        <v/>
      </c>
      <c r="I158" s="100">
        <f>IF(A158="","",COUNTIFS(COMPOSANTS!O:O,A158,COMPOSANTS!G:G,"Défectueux"))</f>
        <v/>
      </c>
    </row>
    <row r="159" ht="15" customHeight="1" s="59">
      <c r="H159" s="100">
        <f>IF(A159="","",COUNTIF(EQUIPEMENTS!R:R,A159))</f>
        <v/>
      </c>
      <c r="I159" s="100">
        <f>IF(A159="","",COUNTIFS(COMPOSANTS!O:O,A159,COMPOSANTS!G:G,"Défectueux"))</f>
        <v/>
      </c>
    </row>
    <row r="160" ht="15" customHeight="1" s="59">
      <c r="H160" s="100">
        <f>IF(A160="","",COUNTIF(EQUIPEMENTS!R:R,A160))</f>
        <v/>
      </c>
      <c r="I160" s="100">
        <f>IF(A160="","",COUNTIFS(COMPOSANTS!O:O,A160,COMPOSANTS!G:G,"Défectueux"))</f>
        <v/>
      </c>
    </row>
    <row r="161" ht="15" customHeight="1" s="59">
      <c r="H161" s="100">
        <f>IF(A161="","",COUNTIF(EQUIPEMENTS!R:R,A161))</f>
        <v/>
      </c>
      <c r="I161" s="100">
        <f>IF(A161="","",COUNTIFS(COMPOSANTS!O:O,A161,COMPOSANTS!G:G,"Défectueux"))</f>
        <v/>
      </c>
    </row>
    <row r="162" ht="15" customHeight="1" s="59">
      <c r="H162" s="100">
        <f>IF(A162="","",COUNTIF(EQUIPEMENTS!R:R,A162))</f>
        <v/>
      </c>
      <c r="I162" s="100">
        <f>IF(A162="","",COUNTIFS(COMPOSANTS!O:O,A162,COMPOSANTS!G:G,"Défectueux"))</f>
        <v/>
      </c>
    </row>
    <row r="163" ht="15" customHeight="1" s="59">
      <c r="H163" s="100">
        <f>IF(A163="","",COUNTIF(EQUIPEMENTS!R:R,A163))</f>
        <v/>
      </c>
      <c r="I163" s="100">
        <f>IF(A163="","",COUNTIFS(COMPOSANTS!O:O,A163,COMPOSANTS!G:G,"Défectueux"))</f>
        <v/>
      </c>
    </row>
    <row r="164" ht="15" customHeight="1" s="59">
      <c r="H164" s="100">
        <f>IF(A164="","",COUNTIF(EQUIPEMENTS!R:R,A164))</f>
        <v/>
      </c>
      <c r="I164" s="100">
        <f>IF(A164="","",COUNTIFS(COMPOSANTS!O:O,A164,COMPOSANTS!G:G,"Défectueux"))</f>
        <v/>
      </c>
    </row>
    <row r="165" ht="15" customHeight="1" s="59">
      <c r="H165" s="100">
        <f>IF(A165="","",COUNTIF(EQUIPEMENTS!R:R,A165))</f>
        <v/>
      </c>
      <c r="I165" s="100">
        <f>IF(A165="","",COUNTIFS(COMPOSANTS!O:O,A165,COMPOSANTS!G:G,"Défectueux"))</f>
        <v/>
      </c>
    </row>
    <row r="166" ht="15" customHeight="1" s="59">
      <c r="H166" s="100">
        <f>IF(A166="","",COUNTIF(EQUIPEMENTS!R:R,A166))</f>
        <v/>
      </c>
      <c r="I166" s="100">
        <f>IF(A166="","",COUNTIFS(COMPOSANTS!O:O,A166,COMPOSANTS!G:G,"Défectueux"))</f>
        <v/>
      </c>
    </row>
    <row r="167" ht="15" customHeight="1" s="59">
      <c r="H167" s="100">
        <f>IF(A167="","",COUNTIF(EQUIPEMENTS!R:R,A167))</f>
        <v/>
      </c>
      <c r="I167" s="100">
        <f>IF(A167="","",COUNTIFS(COMPOSANTS!O:O,A167,COMPOSANTS!G:G,"Défectueux"))</f>
        <v/>
      </c>
    </row>
    <row r="168" ht="15" customHeight="1" s="59">
      <c r="H168" s="100">
        <f>IF(A168="","",COUNTIF(EQUIPEMENTS!R:R,A168))</f>
        <v/>
      </c>
      <c r="I168" s="100">
        <f>IF(A168="","",COUNTIFS(COMPOSANTS!O:O,A168,COMPOSANTS!G:G,"Défectueux"))</f>
        <v/>
      </c>
    </row>
    <row r="169" ht="15" customHeight="1" s="59">
      <c r="H169" s="100">
        <f>IF(A169="","",COUNTIF(EQUIPEMENTS!R:R,A169))</f>
        <v/>
      </c>
      <c r="I169" s="100">
        <f>IF(A169="","",COUNTIFS(COMPOSANTS!O:O,A169,COMPOSANTS!G:G,"Défectueux"))</f>
        <v/>
      </c>
    </row>
    <row r="170" ht="15" customHeight="1" s="59">
      <c r="H170" s="100">
        <f>IF(A170="","",COUNTIF(EQUIPEMENTS!R:R,A170))</f>
        <v/>
      </c>
      <c r="I170" s="100">
        <f>IF(A170="","",COUNTIFS(COMPOSANTS!O:O,A170,COMPOSANTS!G:G,"Défectueux"))</f>
        <v/>
      </c>
    </row>
    <row r="171" ht="15" customHeight="1" s="59">
      <c r="H171" s="100">
        <f>IF(A171="","",COUNTIF(EQUIPEMENTS!R:R,A171))</f>
        <v/>
      </c>
      <c r="I171" s="100">
        <f>IF(A171="","",COUNTIFS(COMPOSANTS!O:O,A171,COMPOSANTS!G:G,"Défectueux"))</f>
        <v/>
      </c>
    </row>
    <row r="172" ht="15" customHeight="1" s="59">
      <c r="H172" s="100">
        <f>IF(A172="","",COUNTIF(EQUIPEMENTS!R:R,A172))</f>
        <v/>
      </c>
      <c r="I172" s="100">
        <f>IF(A172="","",COUNTIFS(COMPOSANTS!O:O,A172,COMPOSANTS!G:G,"Défectueux"))</f>
        <v/>
      </c>
    </row>
    <row r="173" ht="15" customHeight="1" s="59">
      <c r="H173" s="100">
        <f>IF(A173="","",COUNTIF(EQUIPEMENTS!R:R,A173))</f>
        <v/>
      </c>
      <c r="I173" s="100">
        <f>IF(A173="","",COUNTIFS(COMPOSANTS!O:O,A173,COMPOSANTS!G:G,"Défectueux"))</f>
        <v/>
      </c>
    </row>
    <row r="174" ht="15" customHeight="1" s="59">
      <c r="H174" s="100">
        <f>IF(A174="","",COUNTIF(EQUIPEMENTS!R:R,A174))</f>
        <v/>
      </c>
      <c r="I174" s="100">
        <f>IF(A174="","",COUNTIFS(COMPOSANTS!O:O,A174,COMPOSANTS!G:G,"Défectueux"))</f>
        <v/>
      </c>
    </row>
    <row r="175" ht="15" customHeight="1" s="59">
      <c r="H175" s="100">
        <f>IF(A175="","",COUNTIF(EQUIPEMENTS!R:R,A175))</f>
        <v/>
      </c>
      <c r="I175" s="100">
        <f>IF(A175="","",COUNTIFS(COMPOSANTS!O:O,A175,COMPOSANTS!G:G,"Défectueux"))</f>
        <v/>
      </c>
    </row>
    <row r="176" ht="15" customHeight="1" s="59">
      <c r="H176" s="100">
        <f>IF(A176="","",COUNTIF(EQUIPEMENTS!R:R,A176))</f>
        <v/>
      </c>
      <c r="I176" s="100">
        <f>IF(A176="","",COUNTIFS(COMPOSANTS!O:O,A176,COMPOSANTS!G:G,"Défectueux"))</f>
        <v/>
      </c>
    </row>
    <row r="177" ht="15" customHeight="1" s="59">
      <c r="H177" s="100">
        <f>IF(A177="","",COUNTIF(EQUIPEMENTS!R:R,A177))</f>
        <v/>
      </c>
      <c r="I177" s="100">
        <f>IF(A177="","",COUNTIFS(COMPOSANTS!O:O,A177,COMPOSANTS!G:G,"Défectueux"))</f>
        <v/>
      </c>
    </row>
    <row r="178" ht="15" customHeight="1" s="59">
      <c r="H178" s="100">
        <f>IF(A178="","",COUNTIF(EQUIPEMENTS!R:R,A178))</f>
        <v/>
      </c>
      <c r="I178" s="100">
        <f>IF(A178="","",COUNTIFS(COMPOSANTS!O:O,A178,COMPOSANTS!G:G,"Défectueux"))</f>
        <v/>
      </c>
    </row>
    <row r="179" ht="15" customHeight="1" s="59">
      <c r="H179" s="100">
        <f>IF(A179="","",COUNTIF(EQUIPEMENTS!R:R,A179))</f>
        <v/>
      </c>
      <c r="I179" s="100">
        <f>IF(A179="","",COUNTIFS(COMPOSANTS!O:O,A179,COMPOSANTS!G:G,"Défectueux"))</f>
        <v/>
      </c>
    </row>
    <row r="180" ht="15" customHeight="1" s="59">
      <c r="H180" s="100">
        <f>IF(A180="","",COUNTIF(EQUIPEMENTS!R:R,A180))</f>
        <v/>
      </c>
      <c r="I180" s="100">
        <f>IF(A180="","",COUNTIFS(COMPOSANTS!O:O,A180,COMPOSANTS!G:G,"Défectueux"))</f>
        <v/>
      </c>
    </row>
    <row r="181" ht="15" customHeight="1" s="59">
      <c r="H181" s="100">
        <f>IF(A181="","",COUNTIF(EQUIPEMENTS!R:R,A181))</f>
        <v/>
      </c>
      <c r="I181" s="100">
        <f>IF(A181="","",COUNTIFS(COMPOSANTS!O:O,A181,COMPOSANTS!G:G,"Défectueux"))</f>
        <v/>
      </c>
    </row>
    <row r="182" ht="15" customHeight="1" s="59">
      <c r="H182" s="100">
        <f>IF(A182="","",COUNTIF(EQUIPEMENTS!R:R,A182))</f>
        <v/>
      </c>
      <c r="I182" s="100">
        <f>IF(A182="","",COUNTIFS(COMPOSANTS!O:O,A182,COMPOSANTS!G:G,"Défectueux"))</f>
        <v/>
      </c>
    </row>
    <row r="183" ht="15" customHeight="1" s="59">
      <c r="H183" s="100">
        <f>IF(A183="","",COUNTIF(EQUIPEMENTS!R:R,A183))</f>
        <v/>
      </c>
      <c r="I183" s="100">
        <f>IF(A183="","",COUNTIFS(COMPOSANTS!O:O,A183,COMPOSANTS!G:G,"Défectueux"))</f>
        <v/>
      </c>
    </row>
    <row r="184" ht="15" customHeight="1" s="59">
      <c r="H184" s="100">
        <f>IF(A184="","",COUNTIF(EQUIPEMENTS!R:R,A184))</f>
        <v/>
      </c>
      <c r="I184" s="100">
        <f>IF(A184="","",COUNTIFS(COMPOSANTS!O:O,A184,COMPOSANTS!G:G,"Défectueux"))</f>
        <v/>
      </c>
    </row>
    <row r="185" ht="15" customHeight="1" s="59">
      <c r="H185" s="100">
        <f>IF(A185="","",COUNTIF(EQUIPEMENTS!R:R,A185))</f>
        <v/>
      </c>
      <c r="I185" s="100">
        <f>IF(A185="","",COUNTIFS(COMPOSANTS!O:O,A185,COMPOSANTS!G:G,"Défectueux"))</f>
        <v/>
      </c>
    </row>
    <row r="186" ht="15" customHeight="1" s="59">
      <c r="H186" s="100">
        <f>IF(A186="","",COUNTIF(EQUIPEMENTS!R:R,A186))</f>
        <v/>
      </c>
      <c r="I186" s="100">
        <f>IF(A186="","",COUNTIFS(COMPOSANTS!O:O,A186,COMPOSANTS!G:G,"Défectueux"))</f>
        <v/>
      </c>
    </row>
    <row r="187" ht="15" customHeight="1" s="59">
      <c r="H187" s="100">
        <f>IF(A187="","",COUNTIF(EQUIPEMENTS!R:R,A187))</f>
        <v/>
      </c>
      <c r="I187" s="100">
        <f>IF(A187="","",COUNTIFS(COMPOSANTS!O:O,A187,COMPOSANTS!G:G,"Défectueux"))</f>
        <v/>
      </c>
    </row>
    <row r="188" ht="15" customHeight="1" s="59">
      <c r="H188" s="100">
        <f>IF(A188="","",COUNTIF(EQUIPEMENTS!R:R,A188))</f>
        <v/>
      </c>
      <c r="I188" s="100">
        <f>IF(A188="","",COUNTIFS(COMPOSANTS!O:O,A188,COMPOSANTS!G:G,"Défectueux"))</f>
        <v/>
      </c>
    </row>
    <row r="189" ht="15" customHeight="1" s="59">
      <c r="H189" s="100">
        <f>IF(A189="","",COUNTIF(EQUIPEMENTS!R:R,A189))</f>
        <v/>
      </c>
      <c r="I189" s="100">
        <f>IF(A189="","",COUNTIFS(COMPOSANTS!O:O,A189,COMPOSANTS!G:G,"Défectueux"))</f>
        <v/>
      </c>
    </row>
    <row r="190" ht="15" customHeight="1" s="59">
      <c r="H190" s="100">
        <f>IF(A190="","",COUNTIF(EQUIPEMENTS!R:R,A190))</f>
        <v/>
      </c>
      <c r="I190" s="100">
        <f>IF(A190="","",COUNTIFS(COMPOSANTS!O:O,A190,COMPOSANTS!G:G,"Défectueux"))</f>
        <v/>
      </c>
    </row>
    <row r="191" ht="15" customHeight="1" s="59">
      <c r="H191" s="100">
        <f>IF(A191="","",COUNTIF(EQUIPEMENTS!R:R,A191))</f>
        <v/>
      </c>
      <c r="I191" s="100">
        <f>IF(A191="","",COUNTIFS(COMPOSANTS!O:O,A191,COMPOSANTS!G:G,"Défectueux"))</f>
        <v/>
      </c>
    </row>
    <row r="192" ht="15" customHeight="1" s="59">
      <c r="H192" s="100">
        <f>IF(A192="","",COUNTIF(EQUIPEMENTS!R:R,A192))</f>
        <v/>
      </c>
      <c r="I192" s="100">
        <f>IF(A192="","",COUNTIFS(COMPOSANTS!O:O,A192,COMPOSANTS!G:G,"Défectueux"))</f>
        <v/>
      </c>
    </row>
    <row r="193" ht="15" customHeight="1" s="59">
      <c r="H193" s="100">
        <f>IF(A193="","",COUNTIF(EQUIPEMENTS!R:R,A193))</f>
        <v/>
      </c>
      <c r="I193" s="100">
        <f>IF(A193="","",COUNTIFS(COMPOSANTS!O:O,A193,COMPOSANTS!G:G,"Défectueux"))</f>
        <v/>
      </c>
    </row>
    <row r="194" ht="15" customHeight="1" s="59">
      <c r="H194" s="100">
        <f>IF(A194="","",COUNTIF(EQUIPEMENTS!R:R,A194))</f>
        <v/>
      </c>
      <c r="I194" s="100">
        <f>IF(A194="","",COUNTIFS(COMPOSANTS!O:O,A194,COMPOSANTS!G:G,"Défectueux"))</f>
        <v/>
      </c>
    </row>
    <row r="195" ht="15" customHeight="1" s="59">
      <c r="H195" s="100">
        <f>IF(A195="","",COUNTIF(EQUIPEMENTS!R:R,A195))</f>
        <v/>
      </c>
      <c r="I195" s="100">
        <f>IF(A195="","",COUNTIFS(COMPOSANTS!O:O,A195,COMPOSANTS!G:G,"Défectueux"))</f>
        <v/>
      </c>
    </row>
    <row r="196" ht="15" customHeight="1" s="59">
      <c r="H196" s="100">
        <f>IF(A196="","",COUNTIF(EQUIPEMENTS!R:R,A196))</f>
        <v/>
      </c>
      <c r="I196" s="100">
        <f>IF(A196="","",COUNTIFS(COMPOSANTS!O:O,A196,COMPOSANTS!G:G,"Défectueux"))</f>
        <v/>
      </c>
    </row>
    <row r="197" ht="15" customHeight="1" s="59">
      <c r="H197" s="100">
        <f>IF(A197="","",COUNTIF(EQUIPEMENTS!R:R,A197))</f>
        <v/>
      </c>
      <c r="I197" s="100">
        <f>IF(A197="","",COUNTIFS(COMPOSANTS!O:O,A197,COMPOSANTS!G:G,"Défectueux"))</f>
        <v/>
      </c>
    </row>
    <row r="198" ht="15" customHeight="1" s="59">
      <c r="H198" s="100">
        <f>IF(A198="","",COUNTIF(EQUIPEMENTS!R:R,A198))</f>
        <v/>
      </c>
      <c r="I198" s="100">
        <f>IF(A198="","",COUNTIFS(COMPOSANTS!O:O,A198,COMPOSANTS!G:G,"Défectueux"))</f>
        <v/>
      </c>
    </row>
    <row r="199" ht="15" customHeight="1" s="59">
      <c r="H199" s="100">
        <f>IF(A199="","",COUNTIF(EQUIPEMENTS!R:R,A199))</f>
        <v/>
      </c>
      <c r="I199" s="100">
        <f>IF(A199="","",COUNTIFS(COMPOSANTS!O:O,A199,COMPOSANTS!G:G,"Défectueux"))</f>
        <v/>
      </c>
    </row>
    <row r="200" ht="15" customHeight="1" s="59">
      <c r="H200" s="100">
        <f>IF(A200="","",COUNTIF(EQUIPEMENTS!R:R,A200))</f>
        <v/>
      </c>
      <c r="I200" s="100">
        <f>IF(A200="","",COUNTIFS(COMPOSANTS!O:O,A200,COMPOSANTS!G:G,"Défectueux"))</f>
        <v/>
      </c>
    </row>
  </sheetData>
  <autoFilter ref="A1:J1"/>
  <conditionalFormatting sqref="A2:J200">
    <cfRule type="expression" rank="0" priority="2" equalAverage="0" aboveAverage="0" dxfId="3" text="" percent="0" bottom="0">
      <formula>$G2="Incomplet"</formula>
    </cfRule>
    <cfRule type="expression" rank="0" priority="3" equalAverage="0" aboveAverage="0" dxfId="2" text="" percent="0" bottom="0">
      <formula>$G2="Hors service"</formula>
    </cfRule>
  </conditionalFormatting>
  <dataValidations count="3">
    <dataValidation sqref="D2:D200" showDropDown="0" showInputMessage="0" showErrorMessage="0" allowBlank="1" type="list" errorStyle="stop" operator="between">
      <formula1>LISTES!$H$2:$H$10</formula1>
      <formula2>0</formula2>
    </dataValidation>
    <dataValidation sqref="E2:E200" showDropDown="0" showInputMessage="0" showErrorMessage="0" allowBlank="1" type="list" errorStyle="stop" operator="between">
      <formula1>TECHNICIENS!$A$2:$A$200</formula1>
      <formula2>0</formula2>
    </dataValidation>
    <dataValidation sqref="G2:G200" showDropDown="0" showInputMessage="0" showErrorMessage="0" allowBlank="1" type="list" errorStyle="stop" operator="between">
      <formula1>"Actif,Incomplet,Hors service,Archivé"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4A4A00"/>
    <outlinePr summaryBelow="1" summaryRight="1"/>
    <pageSetUpPr fitToPage="0"/>
  </sheetPr>
  <dimension ref="A1:K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58" min="1" max="1"/>
    <col width="28" customWidth="1" style="58" min="2" max="2"/>
    <col width="24" customWidth="1" style="58" min="3" max="3"/>
    <col width="22" customWidth="1" style="58" min="4" max="4"/>
    <col width="16" customWidth="1" style="58" min="5" max="5"/>
    <col width="28" customWidth="1" style="58" min="6" max="6"/>
    <col width="10" customWidth="1" style="58" min="7" max="7"/>
    <col width="16" customWidth="1" style="58" min="8" max="9"/>
    <col width="18" customWidth="1" style="58" min="10" max="10"/>
    <col width="35" customWidth="1" style="58" min="11" max="11"/>
  </cols>
  <sheetData>
    <row r="1" ht="27.75" customHeight="1" s="59">
      <c r="A1" s="93" t="inlineStr">
        <is>
          <t>Code_Fournisseur</t>
        </is>
      </c>
      <c r="B1" s="93" t="inlineStr">
        <is>
          <t>Nom_Fournisseur</t>
        </is>
      </c>
      <c r="C1" s="93" t="inlineStr">
        <is>
          <t>Type</t>
        </is>
      </c>
      <c r="D1" s="93" t="inlineStr">
        <is>
          <t>Contact</t>
        </is>
      </c>
      <c r="E1" s="93" t="inlineStr">
        <is>
          <t>Telephone</t>
        </is>
      </c>
      <c r="F1" s="93" t="inlineStr">
        <is>
          <t>Email</t>
        </is>
      </c>
      <c r="G1" s="93" t="inlineStr">
        <is>
          <t>Contrat</t>
        </is>
      </c>
      <c r="H1" s="93" t="inlineStr">
        <is>
          <t>Date_Debut_Contrat</t>
        </is>
      </c>
      <c r="I1" s="93" t="inlineStr">
        <is>
          <t>Date_Fin_Contrat</t>
        </is>
      </c>
      <c r="J1" s="83" t="inlineStr">
        <is>
          <t>Delai_Livraison_Jours</t>
        </is>
      </c>
      <c r="K1" s="93" t="inlineStr">
        <is>
          <t>Observation</t>
        </is>
      </c>
    </row>
    <row r="2" ht="19.5" customHeight="1" s="59">
      <c r="A2" s="84" t="inlineStr">
        <is>
          <t>FOUR001</t>
        </is>
      </c>
      <c r="B2" s="84" t="inlineStr">
        <is>
          <t>Philips Medical</t>
        </is>
      </c>
      <c r="C2" s="84" t="inlineStr">
        <is>
          <t>Maintenance externe</t>
        </is>
      </c>
      <c r="D2" s="84" t="inlineStr">
        <is>
          <t>Jean Dupont</t>
        </is>
      </c>
      <c r="E2" s="84" t="inlineStr">
        <is>
          <t>01 23 45 67 89</t>
        </is>
      </c>
      <c r="F2" s="84" t="inlineStr">
        <is>
          <t>jean.dupont@philips.com</t>
        </is>
      </c>
      <c r="G2" s="84" t="inlineStr">
        <is>
          <t>Oui</t>
        </is>
      </c>
      <c r="H2" s="86" t="inlineStr">
        <is>
          <t>2022-01-01</t>
        </is>
      </c>
      <c r="I2" s="86" t="inlineStr">
        <is>
          <t>2026-01-01</t>
        </is>
      </c>
      <c r="J2" s="84" t="inlineStr">
        <is>
          <t>5</t>
        </is>
      </c>
      <c r="K2" s="84" t="inlineStr">
        <is>
          <t>Contrat maintenance moniteurs</t>
        </is>
      </c>
    </row>
    <row r="3" ht="19.5" customHeight="1" s="59">
      <c r="A3" s="87" t="inlineStr">
        <is>
          <t>FOUR002</t>
        </is>
      </c>
      <c r="B3" s="87" t="inlineStr">
        <is>
          <t>Invacare France</t>
        </is>
      </c>
      <c r="C3" s="87" t="inlineStr">
        <is>
          <t>Fourniture équipement</t>
        </is>
      </c>
      <c r="D3" s="87" t="inlineStr">
        <is>
          <t>Marie Martin</t>
        </is>
      </c>
      <c r="E3" s="87" t="inlineStr">
        <is>
          <t>01 98 76 54 32</t>
        </is>
      </c>
      <c r="F3" s="87" t="inlineStr">
        <is>
          <t>marie.martin@invacare.com</t>
        </is>
      </c>
      <c r="G3" s="87" t="inlineStr">
        <is>
          <t>Non</t>
        </is>
      </c>
      <c r="H3" s="89" t="n"/>
      <c r="I3" s="89" t="n"/>
      <c r="J3" s="87" t="inlineStr">
        <is>
          <t>10</t>
        </is>
      </c>
      <c r="K3" s="87" t="n"/>
    </row>
    <row r="4" ht="19.5" customHeight="1" s="59">
      <c r="A4" s="84" t="inlineStr">
        <is>
          <t>FOUR003</t>
        </is>
      </c>
      <c r="B4" s="84" t="inlineStr">
        <is>
          <t>HP France</t>
        </is>
      </c>
      <c r="C4" s="84" t="inlineStr">
        <is>
          <t>Prestataire informatique</t>
        </is>
      </c>
      <c r="D4" s="84" t="inlineStr">
        <is>
          <t>Paul Bernard</t>
        </is>
      </c>
      <c r="E4" s="84" t="inlineStr">
        <is>
          <t>0800 123 456</t>
        </is>
      </c>
      <c r="F4" s="84" t="inlineStr">
        <is>
          <t>paul.bernard@hp.com</t>
        </is>
      </c>
      <c r="G4" s="84" t="inlineStr">
        <is>
          <t>Oui</t>
        </is>
      </c>
      <c r="H4" s="86" t="inlineStr">
        <is>
          <t>2023-01-01</t>
        </is>
      </c>
      <c r="I4" s="86" t="inlineStr">
        <is>
          <t>2027-01-01</t>
        </is>
      </c>
      <c r="J4" s="84" t="inlineStr">
        <is>
          <t>3</t>
        </is>
      </c>
      <c r="K4" s="84" t="inlineStr">
        <is>
          <t>Contrat matériel informatique</t>
        </is>
      </c>
    </row>
    <row r="5" ht="15" customHeight="1" s="59">
      <c r="A5" s="58" t="n"/>
      <c r="B5" s="58" t="n"/>
      <c r="H5" s="91" t="n"/>
      <c r="I5" s="91" t="n"/>
    </row>
    <row r="6" ht="15" customHeight="1" s="59">
      <c r="H6" s="91" t="n"/>
      <c r="I6" s="91" t="n"/>
    </row>
    <row r="7" ht="15" customHeight="1" s="59">
      <c r="H7" s="91" t="n"/>
      <c r="I7" s="91" t="n"/>
    </row>
    <row r="8" ht="15" customHeight="1" s="59">
      <c r="H8" s="91" t="n"/>
      <c r="I8" s="91" t="n"/>
    </row>
    <row r="9" ht="15" customHeight="1" s="59">
      <c r="H9" s="91" t="n"/>
      <c r="I9" s="91" t="n"/>
    </row>
    <row r="10" ht="15" customHeight="1" s="59">
      <c r="H10" s="91" t="n"/>
      <c r="I10" s="91" t="n"/>
    </row>
    <row r="11" ht="15" customHeight="1" s="59">
      <c r="H11" s="91" t="n"/>
      <c r="I11" s="91" t="n"/>
    </row>
    <row r="12" ht="15" customHeight="1" s="59">
      <c r="H12" s="91" t="n"/>
      <c r="I12" s="91" t="n"/>
    </row>
    <row r="13" ht="15" customHeight="1" s="59">
      <c r="H13" s="91" t="n"/>
      <c r="I13" s="91" t="n"/>
    </row>
    <row r="14" ht="15" customHeight="1" s="59">
      <c r="H14" s="91" t="n"/>
      <c r="I14" s="91" t="n"/>
    </row>
    <row r="15" ht="15" customHeight="1" s="59">
      <c r="H15" s="91" t="n"/>
      <c r="I15" s="91" t="n"/>
    </row>
    <row r="16" ht="15" customHeight="1" s="59">
      <c r="H16" s="91" t="n"/>
      <c r="I16" s="91" t="n"/>
    </row>
    <row r="17" ht="15" customHeight="1" s="59">
      <c r="H17" s="91" t="n"/>
      <c r="I17" s="91" t="n"/>
    </row>
    <row r="18" ht="15" customHeight="1" s="59">
      <c r="H18" s="91" t="n"/>
      <c r="I18" s="91" t="n"/>
    </row>
    <row r="19" ht="15" customHeight="1" s="59">
      <c r="H19" s="91" t="n"/>
      <c r="I19" s="91" t="n"/>
    </row>
    <row r="20" ht="15" customHeight="1" s="59">
      <c r="H20" s="91" t="n"/>
      <c r="I20" s="91" t="n"/>
    </row>
    <row r="21" ht="15" customHeight="1" s="59">
      <c r="H21" s="91" t="n"/>
      <c r="I21" s="91" t="n"/>
    </row>
    <row r="22" ht="15" customHeight="1" s="59">
      <c r="H22" s="91" t="n"/>
      <c r="I22" s="91" t="n"/>
    </row>
    <row r="23" ht="15" customHeight="1" s="59">
      <c r="H23" s="91" t="n"/>
      <c r="I23" s="91" t="n"/>
    </row>
    <row r="24" ht="15" customHeight="1" s="59">
      <c r="H24" s="91" t="n"/>
      <c r="I24" s="91" t="n"/>
    </row>
    <row r="25" ht="15" customHeight="1" s="59">
      <c r="H25" s="91" t="n"/>
      <c r="I25" s="91" t="n"/>
    </row>
    <row r="26" ht="15" customHeight="1" s="59">
      <c r="H26" s="91" t="n"/>
      <c r="I26" s="91" t="n"/>
    </row>
    <row r="27" ht="15" customHeight="1" s="59">
      <c r="H27" s="91" t="n"/>
      <c r="I27" s="91" t="n"/>
    </row>
    <row r="28" ht="15" customHeight="1" s="59">
      <c r="H28" s="91" t="n"/>
      <c r="I28" s="91" t="n"/>
    </row>
    <row r="29" ht="15" customHeight="1" s="59">
      <c r="H29" s="91" t="n"/>
      <c r="I29" s="91" t="n"/>
    </row>
    <row r="30" ht="15" customHeight="1" s="59">
      <c r="H30" s="91" t="n"/>
      <c r="I30" s="91" t="n"/>
    </row>
    <row r="31" ht="15" customHeight="1" s="59">
      <c r="H31" s="91" t="n"/>
      <c r="I31" s="91" t="n"/>
    </row>
    <row r="32" ht="15" customHeight="1" s="59">
      <c r="H32" s="91" t="n"/>
      <c r="I32" s="91" t="n"/>
    </row>
    <row r="33" ht="15" customHeight="1" s="59">
      <c r="H33" s="91" t="n"/>
      <c r="I33" s="91" t="n"/>
    </row>
    <row r="34" ht="15" customHeight="1" s="59">
      <c r="H34" s="91" t="n"/>
      <c r="I34" s="91" t="n"/>
    </row>
    <row r="35" ht="15" customHeight="1" s="59">
      <c r="H35" s="91" t="n"/>
      <c r="I35" s="91" t="n"/>
    </row>
    <row r="36" ht="15" customHeight="1" s="59">
      <c r="H36" s="91" t="n"/>
      <c r="I36" s="91" t="n"/>
    </row>
    <row r="37" ht="15" customHeight="1" s="59">
      <c r="H37" s="91" t="n"/>
      <c r="I37" s="91" t="n"/>
    </row>
    <row r="38" ht="15" customHeight="1" s="59">
      <c r="H38" s="91" t="n"/>
      <c r="I38" s="91" t="n"/>
    </row>
    <row r="39" ht="15" customHeight="1" s="59">
      <c r="H39" s="91" t="n"/>
      <c r="I39" s="91" t="n"/>
    </row>
    <row r="40" ht="15" customHeight="1" s="59">
      <c r="H40" s="91" t="n"/>
      <c r="I40" s="91" t="n"/>
    </row>
    <row r="41" ht="15" customHeight="1" s="59">
      <c r="H41" s="91" t="n"/>
      <c r="I41" s="91" t="n"/>
    </row>
    <row r="42" ht="15" customHeight="1" s="59">
      <c r="H42" s="91" t="n"/>
      <c r="I42" s="91" t="n"/>
    </row>
    <row r="43" ht="15" customHeight="1" s="59">
      <c r="H43" s="91" t="n"/>
      <c r="I43" s="91" t="n"/>
    </row>
    <row r="44" ht="15" customHeight="1" s="59">
      <c r="H44" s="91" t="n"/>
      <c r="I44" s="91" t="n"/>
    </row>
    <row r="45" ht="15" customHeight="1" s="59">
      <c r="H45" s="91" t="n"/>
      <c r="I45" s="91" t="n"/>
    </row>
    <row r="46" ht="15" customHeight="1" s="59">
      <c r="H46" s="91" t="n"/>
      <c r="I46" s="91" t="n"/>
    </row>
    <row r="47" ht="15" customHeight="1" s="59">
      <c r="H47" s="91" t="n"/>
      <c r="I47" s="91" t="n"/>
    </row>
    <row r="48" ht="15" customHeight="1" s="59">
      <c r="H48" s="91" t="n"/>
      <c r="I48" s="91" t="n"/>
    </row>
    <row r="49" ht="15" customHeight="1" s="59">
      <c r="H49" s="91" t="n"/>
      <c r="I49" s="91" t="n"/>
    </row>
    <row r="50" ht="15" customHeight="1" s="59">
      <c r="H50" s="91" t="n"/>
      <c r="I50" s="91" t="n"/>
    </row>
    <row r="51" ht="15" customHeight="1" s="59">
      <c r="H51" s="91" t="n"/>
      <c r="I51" s="91" t="n"/>
    </row>
    <row r="52" ht="15" customHeight="1" s="59">
      <c r="H52" s="91" t="n"/>
      <c r="I52" s="91" t="n"/>
    </row>
    <row r="53" ht="15" customHeight="1" s="59">
      <c r="H53" s="91" t="n"/>
      <c r="I53" s="91" t="n"/>
    </row>
    <row r="54" ht="15" customHeight="1" s="59">
      <c r="H54" s="91" t="n"/>
      <c r="I54" s="91" t="n"/>
    </row>
    <row r="55" ht="15" customHeight="1" s="59">
      <c r="H55" s="91" t="n"/>
      <c r="I55" s="91" t="n"/>
    </row>
    <row r="56" ht="15" customHeight="1" s="59">
      <c r="H56" s="91" t="n"/>
      <c r="I56" s="91" t="n"/>
    </row>
    <row r="57" ht="15" customHeight="1" s="59">
      <c r="H57" s="91" t="n"/>
      <c r="I57" s="91" t="n"/>
    </row>
    <row r="58" ht="15" customHeight="1" s="59">
      <c r="H58" s="91" t="n"/>
      <c r="I58" s="91" t="n"/>
    </row>
    <row r="59" ht="15" customHeight="1" s="59">
      <c r="H59" s="91" t="n"/>
      <c r="I59" s="91" t="n"/>
    </row>
    <row r="60" ht="15" customHeight="1" s="59">
      <c r="H60" s="91" t="n"/>
      <c r="I60" s="91" t="n"/>
    </row>
    <row r="61" ht="15" customHeight="1" s="59">
      <c r="H61" s="91" t="n"/>
      <c r="I61" s="91" t="n"/>
    </row>
    <row r="62" ht="15" customHeight="1" s="59">
      <c r="H62" s="91" t="n"/>
      <c r="I62" s="91" t="n"/>
    </row>
    <row r="63" ht="15" customHeight="1" s="59">
      <c r="H63" s="91" t="n"/>
      <c r="I63" s="91" t="n"/>
    </row>
    <row r="64" ht="15" customHeight="1" s="59">
      <c r="H64" s="91" t="n"/>
      <c r="I64" s="91" t="n"/>
    </row>
    <row r="65" ht="15" customHeight="1" s="59">
      <c r="H65" s="91" t="n"/>
      <c r="I65" s="91" t="n"/>
    </row>
    <row r="66" ht="15" customHeight="1" s="59">
      <c r="H66" s="91" t="n"/>
      <c r="I66" s="91" t="n"/>
    </row>
    <row r="67" ht="15" customHeight="1" s="59">
      <c r="H67" s="91" t="n"/>
      <c r="I67" s="91" t="n"/>
    </row>
    <row r="68" ht="15" customHeight="1" s="59">
      <c r="H68" s="91" t="n"/>
      <c r="I68" s="91" t="n"/>
    </row>
    <row r="69" ht="15" customHeight="1" s="59">
      <c r="H69" s="91" t="n"/>
      <c r="I69" s="91" t="n"/>
    </row>
    <row r="70" ht="15" customHeight="1" s="59">
      <c r="H70" s="91" t="n"/>
      <c r="I70" s="91" t="n"/>
    </row>
    <row r="71" ht="15" customHeight="1" s="59">
      <c r="H71" s="91" t="n"/>
      <c r="I71" s="91" t="n"/>
    </row>
    <row r="72" ht="15" customHeight="1" s="59">
      <c r="H72" s="91" t="n"/>
      <c r="I72" s="91" t="n"/>
    </row>
    <row r="73" ht="15" customHeight="1" s="59">
      <c r="H73" s="91" t="n"/>
      <c r="I73" s="91" t="n"/>
    </row>
    <row r="74" ht="15" customHeight="1" s="59">
      <c r="H74" s="91" t="n"/>
      <c r="I74" s="91" t="n"/>
    </row>
    <row r="75" ht="15" customHeight="1" s="59">
      <c r="H75" s="91" t="n"/>
      <c r="I75" s="91" t="n"/>
    </row>
    <row r="76" ht="15" customHeight="1" s="59">
      <c r="H76" s="91" t="n"/>
      <c r="I76" s="91" t="n"/>
    </row>
    <row r="77" ht="15" customHeight="1" s="59">
      <c r="H77" s="91" t="n"/>
      <c r="I77" s="91" t="n"/>
    </row>
    <row r="78" ht="15" customHeight="1" s="59">
      <c r="H78" s="91" t="n"/>
      <c r="I78" s="91" t="n"/>
    </row>
    <row r="79" ht="15" customHeight="1" s="59">
      <c r="H79" s="91" t="n"/>
      <c r="I79" s="91" t="n"/>
    </row>
    <row r="80" ht="15" customHeight="1" s="59">
      <c r="H80" s="91" t="n"/>
      <c r="I80" s="91" t="n"/>
    </row>
    <row r="81" ht="15" customHeight="1" s="59">
      <c r="H81" s="91" t="n"/>
      <c r="I81" s="91" t="n"/>
    </row>
    <row r="82" ht="15" customHeight="1" s="59">
      <c r="H82" s="91" t="n"/>
      <c r="I82" s="91" t="n"/>
    </row>
    <row r="83" ht="15" customHeight="1" s="59">
      <c r="H83" s="91" t="n"/>
      <c r="I83" s="91" t="n"/>
    </row>
    <row r="84" ht="15" customHeight="1" s="59">
      <c r="H84" s="91" t="n"/>
      <c r="I84" s="91" t="n"/>
    </row>
    <row r="85" ht="15" customHeight="1" s="59">
      <c r="H85" s="91" t="n"/>
      <c r="I85" s="91" t="n"/>
    </row>
    <row r="86" ht="15" customHeight="1" s="59">
      <c r="H86" s="91" t="n"/>
      <c r="I86" s="91" t="n"/>
    </row>
    <row r="87" ht="15" customHeight="1" s="59">
      <c r="H87" s="91" t="n"/>
      <c r="I87" s="91" t="n"/>
    </row>
    <row r="88" ht="15" customHeight="1" s="59">
      <c r="H88" s="91" t="n"/>
      <c r="I88" s="91" t="n"/>
    </row>
    <row r="89" ht="15" customHeight="1" s="59">
      <c r="H89" s="91" t="n"/>
      <c r="I89" s="91" t="n"/>
    </row>
    <row r="90" ht="15" customHeight="1" s="59">
      <c r="H90" s="91" t="n"/>
      <c r="I90" s="91" t="n"/>
    </row>
    <row r="91" ht="15" customHeight="1" s="59">
      <c r="H91" s="91" t="n"/>
      <c r="I91" s="91" t="n"/>
    </row>
    <row r="92" ht="15" customHeight="1" s="59">
      <c r="H92" s="91" t="n"/>
      <c r="I92" s="91" t="n"/>
    </row>
    <row r="93" ht="15" customHeight="1" s="59">
      <c r="H93" s="91" t="n"/>
      <c r="I93" s="91" t="n"/>
    </row>
    <row r="94" ht="15" customHeight="1" s="59">
      <c r="H94" s="91" t="n"/>
      <c r="I94" s="91" t="n"/>
    </row>
    <row r="95" ht="15" customHeight="1" s="59">
      <c r="H95" s="91" t="n"/>
      <c r="I95" s="91" t="n"/>
    </row>
    <row r="96" ht="15" customHeight="1" s="59">
      <c r="H96" s="91" t="n"/>
      <c r="I96" s="91" t="n"/>
    </row>
    <row r="97" ht="15" customHeight="1" s="59">
      <c r="H97" s="91" t="n"/>
      <c r="I97" s="91" t="n"/>
    </row>
    <row r="98" ht="15" customHeight="1" s="59">
      <c r="H98" s="91" t="n"/>
      <c r="I98" s="91" t="n"/>
    </row>
    <row r="99" ht="15" customHeight="1" s="59">
      <c r="H99" s="91" t="n"/>
      <c r="I99" s="91" t="n"/>
    </row>
    <row r="100" ht="15" customHeight="1" s="59">
      <c r="H100" s="91" t="n"/>
      <c r="I100" s="91" t="n"/>
    </row>
    <row r="101" ht="15" customHeight="1" s="59">
      <c r="H101" s="91" t="n"/>
      <c r="I101" s="91" t="n"/>
    </row>
    <row r="102" ht="15" customHeight="1" s="59">
      <c r="H102" s="91" t="n"/>
      <c r="I102" s="91" t="n"/>
    </row>
    <row r="103" ht="15" customHeight="1" s="59">
      <c r="H103" s="91" t="n"/>
      <c r="I103" s="91" t="n"/>
    </row>
    <row r="104" ht="15" customHeight="1" s="59">
      <c r="H104" s="91" t="n"/>
      <c r="I104" s="91" t="n"/>
    </row>
    <row r="105" ht="15" customHeight="1" s="59">
      <c r="H105" s="91" t="n"/>
      <c r="I105" s="91" t="n"/>
    </row>
    <row r="106" ht="15" customHeight="1" s="59">
      <c r="H106" s="91" t="n"/>
      <c r="I106" s="91" t="n"/>
    </row>
    <row r="107" ht="15" customHeight="1" s="59">
      <c r="H107" s="91" t="n"/>
      <c r="I107" s="91" t="n"/>
    </row>
    <row r="108" ht="15" customHeight="1" s="59">
      <c r="H108" s="91" t="n"/>
      <c r="I108" s="91" t="n"/>
    </row>
    <row r="109" ht="15" customHeight="1" s="59">
      <c r="H109" s="91" t="n"/>
      <c r="I109" s="91" t="n"/>
    </row>
    <row r="110" ht="15" customHeight="1" s="59">
      <c r="H110" s="91" t="n"/>
      <c r="I110" s="91" t="n"/>
    </row>
    <row r="111" ht="15" customHeight="1" s="59">
      <c r="H111" s="91" t="n"/>
      <c r="I111" s="91" t="n"/>
    </row>
    <row r="112" ht="15" customHeight="1" s="59">
      <c r="H112" s="91" t="n"/>
      <c r="I112" s="91" t="n"/>
    </row>
    <row r="113" ht="15" customHeight="1" s="59">
      <c r="H113" s="91" t="n"/>
      <c r="I113" s="91" t="n"/>
    </row>
    <row r="114" ht="15" customHeight="1" s="59">
      <c r="H114" s="91" t="n"/>
      <c r="I114" s="91" t="n"/>
    </row>
    <row r="115" ht="15" customHeight="1" s="59">
      <c r="H115" s="91" t="n"/>
      <c r="I115" s="91" t="n"/>
    </row>
    <row r="116" ht="15" customHeight="1" s="59">
      <c r="H116" s="91" t="n"/>
      <c r="I116" s="91" t="n"/>
    </row>
    <row r="117" ht="15" customHeight="1" s="59">
      <c r="H117" s="91" t="n"/>
      <c r="I117" s="91" t="n"/>
    </row>
    <row r="118" ht="15" customHeight="1" s="59">
      <c r="H118" s="91" t="n"/>
      <c r="I118" s="91" t="n"/>
    </row>
    <row r="119" ht="15" customHeight="1" s="59">
      <c r="H119" s="91" t="n"/>
      <c r="I119" s="91" t="n"/>
    </row>
    <row r="120" ht="15" customHeight="1" s="59">
      <c r="H120" s="91" t="n"/>
      <c r="I120" s="91" t="n"/>
    </row>
    <row r="121" ht="15" customHeight="1" s="59">
      <c r="H121" s="91" t="n"/>
      <c r="I121" s="91" t="n"/>
    </row>
    <row r="122" ht="15" customHeight="1" s="59">
      <c r="H122" s="91" t="n"/>
      <c r="I122" s="91" t="n"/>
    </row>
    <row r="123" ht="15" customHeight="1" s="59">
      <c r="H123" s="91" t="n"/>
      <c r="I123" s="91" t="n"/>
    </row>
    <row r="124" ht="15" customHeight="1" s="59">
      <c r="H124" s="91" t="n"/>
      <c r="I124" s="91" t="n"/>
    </row>
    <row r="125" ht="15" customHeight="1" s="59">
      <c r="H125" s="91" t="n"/>
      <c r="I125" s="91" t="n"/>
    </row>
    <row r="126" ht="15" customHeight="1" s="59">
      <c r="H126" s="91" t="n"/>
      <c r="I126" s="91" t="n"/>
    </row>
    <row r="127" ht="15" customHeight="1" s="59">
      <c r="H127" s="91" t="n"/>
      <c r="I127" s="91" t="n"/>
    </row>
    <row r="128" ht="15" customHeight="1" s="59">
      <c r="H128" s="91" t="n"/>
      <c r="I128" s="91" t="n"/>
    </row>
    <row r="129" ht="15" customHeight="1" s="59">
      <c r="H129" s="91" t="n"/>
      <c r="I129" s="91" t="n"/>
    </row>
    <row r="130" ht="15" customHeight="1" s="59">
      <c r="H130" s="91" t="n"/>
      <c r="I130" s="91" t="n"/>
    </row>
    <row r="131" ht="15" customHeight="1" s="59">
      <c r="H131" s="91" t="n"/>
      <c r="I131" s="91" t="n"/>
    </row>
    <row r="132" ht="15" customHeight="1" s="59">
      <c r="H132" s="91" t="n"/>
      <c r="I132" s="91" t="n"/>
    </row>
    <row r="133" ht="15" customHeight="1" s="59">
      <c r="H133" s="91" t="n"/>
      <c r="I133" s="91" t="n"/>
    </row>
    <row r="134" ht="15" customHeight="1" s="59">
      <c r="H134" s="91" t="n"/>
      <c r="I134" s="91" t="n"/>
    </row>
    <row r="135" ht="15" customHeight="1" s="59">
      <c r="H135" s="91" t="n"/>
      <c r="I135" s="91" t="n"/>
    </row>
    <row r="136" ht="15" customHeight="1" s="59">
      <c r="H136" s="91" t="n"/>
      <c r="I136" s="91" t="n"/>
    </row>
    <row r="137" ht="15" customHeight="1" s="59">
      <c r="H137" s="91" t="n"/>
      <c r="I137" s="91" t="n"/>
    </row>
    <row r="138" ht="15" customHeight="1" s="59">
      <c r="H138" s="91" t="n"/>
      <c r="I138" s="91" t="n"/>
    </row>
    <row r="139" ht="15" customHeight="1" s="59">
      <c r="H139" s="91" t="n"/>
      <c r="I139" s="91" t="n"/>
    </row>
    <row r="140" ht="15" customHeight="1" s="59">
      <c r="H140" s="91" t="n"/>
      <c r="I140" s="91" t="n"/>
    </row>
    <row r="141" ht="15" customHeight="1" s="59">
      <c r="H141" s="91" t="n"/>
      <c r="I141" s="91" t="n"/>
    </row>
    <row r="142" ht="15" customHeight="1" s="59">
      <c r="H142" s="91" t="n"/>
      <c r="I142" s="91" t="n"/>
    </row>
    <row r="143" ht="15" customHeight="1" s="59">
      <c r="H143" s="91" t="n"/>
      <c r="I143" s="91" t="n"/>
    </row>
    <row r="144" ht="15" customHeight="1" s="59">
      <c r="H144" s="91" t="n"/>
      <c r="I144" s="91" t="n"/>
    </row>
    <row r="145" ht="15" customHeight="1" s="59">
      <c r="H145" s="91" t="n"/>
      <c r="I145" s="91" t="n"/>
    </row>
    <row r="146" ht="15" customHeight="1" s="59">
      <c r="H146" s="91" t="n"/>
      <c r="I146" s="91" t="n"/>
    </row>
    <row r="147" ht="15" customHeight="1" s="59">
      <c r="H147" s="91" t="n"/>
      <c r="I147" s="91" t="n"/>
    </row>
    <row r="148" ht="15" customHeight="1" s="59">
      <c r="H148" s="91" t="n"/>
      <c r="I148" s="91" t="n"/>
    </row>
    <row r="149" ht="15" customHeight="1" s="59">
      <c r="H149" s="91" t="n"/>
      <c r="I149" s="91" t="n"/>
    </row>
    <row r="150" ht="15" customHeight="1" s="59">
      <c r="H150" s="91" t="n"/>
      <c r="I150" s="91" t="n"/>
    </row>
    <row r="151" ht="15" customHeight="1" s="59">
      <c r="H151" s="91" t="n"/>
      <c r="I151" s="91" t="n"/>
    </row>
    <row r="152" ht="15" customHeight="1" s="59">
      <c r="H152" s="91" t="n"/>
      <c r="I152" s="91" t="n"/>
    </row>
    <row r="153" ht="15" customHeight="1" s="59">
      <c r="H153" s="91" t="n"/>
      <c r="I153" s="91" t="n"/>
    </row>
    <row r="154" ht="15" customHeight="1" s="59">
      <c r="H154" s="91" t="n"/>
      <c r="I154" s="91" t="n"/>
    </row>
    <row r="155" ht="15" customHeight="1" s="59">
      <c r="H155" s="91" t="n"/>
      <c r="I155" s="91" t="n"/>
    </row>
    <row r="156" ht="15" customHeight="1" s="59">
      <c r="H156" s="91" t="n"/>
      <c r="I156" s="91" t="n"/>
    </row>
    <row r="157" ht="15" customHeight="1" s="59">
      <c r="H157" s="91" t="n"/>
      <c r="I157" s="91" t="n"/>
    </row>
    <row r="158" ht="15" customHeight="1" s="59">
      <c r="H158" s="91" t="n"/>
      <c r="I158" s="91" t="n"/>
    </row>
    <row r="159" ht="15" customHeight="1" s="59">
      <c r="H159" s="91" t="n"/>
      <c r="I159" s="91" t="n"/>
    </row>
    <row r="160" ht="15" customHeight="1" s="59">
      <c r="H160" s="91" t="n"/>
      <c r="I160" s="91" t="n"/>
    </row>
    <row r="161" ht="15" customHeight="1" s="59">
      <c r="H161" s="91" t="n"/>
      <c r="I161" s="91" t="n"/>
    </row>
    <row r="162" ht="15" customHeight="1" s="59">
      <c r="H162" s="91" t="n"/>
      <c r="I162" s="91" t="n"/>
    </row>
    <row r="163" ht="15" customHeight="1" s="59">
      <c r="H163" s="91" t="n"/>
      <c r="I163" s="91" t="n"/>
    </row>
    <row r="164" ht="15" customHeight="1" s="59">
      <c r="H164" s="91" t="n"/>
      <c r="I164" s="91" t="n"/>
    </row>
    <row r="165" ht="15" customHeight="1" s="59">
      <c r="H165" s="91" t="n"/>
      <c r="I165" s="91" t="n"/>
    </row>
    <row r="166" ht="15" customHeight="1" s="59">
      <c r="H166" s="91" t="n"/>
      <c r="I166" s="91" t="n"/>
    </row>
    <row r="167" ht="15" customHeight="1" s="59">
      <c r="H167" s="91" t="n"/>
      <c r="I167" s="91" t="n"/>
    </row>
    <row r="168" ht="15" customHeight="1" s="59">
      <c r="H168" s="91" t="n"/>
      <c r="I168" s="91" t="n"/>
    </row>
    <row r="169" ht="15" customHeight="1" s="59">
      <c r="H169" s="91" t="n"/>
      <c r="I169" s="91" t="n"/>
    </row>
    <row r="170" ht="15" customHeight="1" s="59">
      <c r="H170" s="91" t="n"/>
      <c r="I170" s="91" t="n"/>
    </row>
    <row r="171" ht="15" customHeight="1" s="59">
      <c r="H171" s="91" t="n"/>
      <c r="I171" s="91" t="n"/>
    </row>
    <row r="172" ht="15" customHeight="1" s="59">
      <c r="H172" s="91" t="n"/>
      <c r="I172" s="91" t="n"/>
    </row>
    <row r="173" ht="15" customHeight="1" s="59">
      <c r="H173" s="91" t="n"/>
      <c r="I173" s="91" t="n"/>
    </row>
    <row r="174" ht="15" customHeight="1" s="59">
      <c r="H174" s="91" t="n"/>
      <c r="I174" s="91" t="n"/>
    </row>
    <row r="175" ht="15" customHeight="1" s="59">
      <c r="H175" s="91" t="n"/>
      <c r="I175" s="91" t="n"/>
    </row>
    <row r="176" ht="15" customHeight="1" s="59">
      <c r="H176" s="91" t="n"/>
      <c r="I176" s="91" t="n"/>
    </row>
    <row r="177" ht="15" customHeight="1" s="59">
      <c r="H177" s="91" t="n"/>
      <c r="I177" s="91" t="n"/>
    </row>
    <row r="178" ht="15" customHeight="1" s="59">
      <c r="H178" s="91" t="n"/>
      <c r="I178" s="91" t="n"/>
    </row>
    <row r="179" ht="15" customHeight="1" s="59">
      <c r="H179" s="91" t="n"/>
      <c r="I179" s="91" t="n"/>
    </row>
    <row r="180" ht="15" customHeight="1" s="59">
      <c r="H180" s="91" t="n"/>
      <c r="I180" s="91" t="n"/>
    </row>
    <row r="181" ht="15" customHeight="1" s="59">
      <c r="H181" s="91" t="n"/>
      <c r="I181" s="91" t="n"/>
    </row>
    <row r="182" ht="15" customHeight="1" s="59">
      <c r="H182" s="91" t="n"/>
      <c r="I182" s="91" t="n"/>
    </row>
    <row r="183" ht="15" customHeight="1" s="59">
      <c r="H183" s="91" t="n"/>
      <c r="I183" s="91" t="n"/>
    </row>
    <row r="184" ht="15" customHeight="1" s="59">
      <c r="H184" s="91" t="n"/>
      <c r="I184" s="91" t="n"/>
    </row>
    <row r="185" ht="15" customHeight="1" s="59">
      <c r="H185" s="91" t="n"/>
      <c r="I185" s="91" t="n"/>
    </row>
    <row r="186" ht="15" customHeight="1" s="59">
      <c r="H186" s="91" t="n"/>
      <c r="I186" s="91" t="n"/>
    </row>
    <row r="187" ht="15" customHeight="1" s="59">
      <c r="H187" s="91" t="n"/>
      <c r="I187" s="91" t="n"/>
    </row>
    <row r="188" ht="15" customHeight="1" s="59">
      <c r="H188" s="91" t="n"/>
      <c r="I188" s="91" t="n"/>
    </row>
    <row r="189" ht="15" customHeight="1" s="59">
      <c r="H189" s="91" t="n"/>
      <c r="I189" s="91" t="n"/>
    </row>
    <row r="190" ht="15" customHeight="1" s="59">
      <c r="H190" s="91" t="n"/>
      <c r="I190" s="91" t="n"/>
    </row>
    <row r="191" ht="15" customHeight="1" s="59">
      <c r="H191" s="91" t="n"/>
      <c r="I191" s="91" t="n"/>
    </row>
    <row r="192" ht="15" customHeight="1" s="59">
      <c r="H192" s="91" t="n"/>
      <c r="I192" s="91" t="n"/>
    </row>
    <row r="193" ht="15" customHeight="1" s="59">
      <c r="H193" s="91" t="n"/>
      <c r="I193" s="91" t="n"/>
    </row>
    <row r="194" ht="15" customHeight="1" s="59">
      <c r="H194" s="91" t="n"/>
      <c r="I194" s="91" t="n"/>
    </row>
    <row r="195" ht="15" customHeight="1" s="59">
      <c r="H195" s="91" t="n"/>
      <c r="I195" s="91" t="n"/>
    </row>
    <row r="196" ht="15" customHeight="1" s="59">
      <c r="H196" s="91" t="n"/>
      <c r="I196" s="91" t="n"/>
    </row>
    <row r="197" ht="15" customHeight="1" s="59">
      <c r="H197" s="91" t="n"/>
      <c r="I197" s="91" t="n"/>
    </row>
    <row r="198" ht="15" customHeight="1" s="59">
      <c r="H198" s="91" t="n"/>
      <c r="I198" s="91" t="n"/>
    </row>
    <row r="199" ht="15" customHeight="1" s="59">
      <c r="H199" s="91" t="n"/>
      <c r="I199" s="91" t="n"/>
    </row>
    <row r="200" ht="15" customHeight="1" s="59">
      <c r="H200" s="91" t="n"/>
      <c r="I200" s="91" t="n"/>
    </row>
  </sheetData>
  <autoFilter ref="A1:K1"/>
  <conditionalFormatting sqref="A2:K200">
    <cfRule type="expression" rank="0" priority="2" equalAverage="0" aboveAverage="0" dxfId="3" text="" percent="0" bottom="0">
      <formula>AND($I2&lt;TODAY()+90,$I2&gt;TODAY())</formula>
    </cfRule>
    <cfRule type="expression" rank="0" priority="3" equalAverage="0" aboveAverage="0" dxfId="2" text="" percent="0" bottom="0">
      <formula>AND($I2&lt;&gt;"", $I2&lt;TODAY())</formula>
    </cfRule>
  </conditionalFormatting>
  <dataValidations count="2">
    <dataValidation sqref="C2:C200" showDropDown="0" showInputMessage="0" showErrorMessage="0" allowBlank="1" type="list" errorStyle="stop" operator="between">
      <formula1>LISTES!$J$2:$J$7</formula1>
      <formula2>0</formula2>
    </dataValidation>
    <dataValidation sqref="G2:G200" showDropDown="0" showInputMessage="0" showErrorMessage="0" allowBlank="1" type="list" errorStyle="stop" operator="between">
      <formula1>LISTES!$O$2:$O$3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8B4000"/>
    <outlinePr summaryBelow="1" summaryRight="1"/>
    <pageSetUpPr fitToPage="0"/>
  </sheetPr>
  <dimension ref="A1:P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58" min="1" max="2"/>
    <col width="28" customWidth="1" style="58" min="3" max="3"/>
    <col width="20" customWidth="1" style="58" min="4" max="5"/>
    <col width="14" customWidth="1" style="58" min="6" max="7"/>
    <col width="18" customWidth="1" style="58" min="8" max="8"/>
    <col width="30" customWidth="1" style="58" min="9" max="10"/>
    <col width="14" customWidth="1" style="58" min="11" max="11"/>
    <col width="16" customWidth="1" style="58" min="12" max="12"/>
    <col width="25" customWidth="1" style="58" min="13" max="13"/>
    <col width="18" customWidth="1" style="58" min="14" max="14"/>
    <col width="14" customWidth="1" style="58" min="15" max="15"/>
    <col width="35" customWidth="1" style="58" min="16" max="16"/>
  </cols>
  <sheetData>
    <row r="1" ht="27.75" customHeight="1" s="59">
      <c r="A1" s="93" t="inlineStr">
        <is>
          <t>Code_Intervention</t>
        </is>
      </c>
      <c r="B1" s="93" t="inlineStr">
        <is>
          <t>Code_Equipement</t>
        </is>
      </c>
      <c r="C1" s="93" t="inlineStr">
        <is>
          <t>Designation</t>
        </is>
      </c>
      <c r="D1" s="93" t="inlineStr">
        <is>
          <t>Type_Intervention</t>
        </is>
      </c>
      <c r="E1" s="93" t="inlineStr">
        <is>
          <t>Origine_Demande</t>
        </is>
      </c>
      <c r="F1" s="93" t="inlineStr">
        <is>
          <t>Date_Demande</t>
        </is>
      </c>
      <c r="G1" s="93" t="inlineStr">
        <is>
          <t>Date_Intervention</t>
        </is>
      </c>
      <c r="H1" s="93" t="inlineStr">
        <is>
          <t>Technicien</t>
        </is>
      </c>
      <c r="I1" s="93" t="inlineStr">
        <is>
          <t>Description_Panne</t>
        </is>
      </c>
      <c r="J1" s="93" t="inlineStr">
        <is>
          <t>Action_Realisee</t>
        </is>
      </c>
      <c r="K1" s="93" t="inlineStr">
        <is>
          <t>Duree_Intervention_H</t>
        </is>
      </c>
      <c r="L1" s="93" t="inlineStr">
        <is>
          <t>Statut</t>
        </is>
      </c>
      <c r="M1" s="93" t="inlineStr">
        <is>
          <t>Pieces_Utilisees</t>
        </is>
      </c>
      <c r="N1" s="83" t="inlineStr">
        <is>
          <t>Code_Composant_Lie</t>
        </is>
      </c>
      <c r="O1" s="83" t="inlineStr">
        <is>
          <t>Jours_Ouvert</t>
        </is>
      </c>
      <c r="P1" s="93" t="inlineStr">
        <is>
          <t>Observation_Cloture</t>
        </is>
      </c>
    </row>
    <row r="2" ht="19.5" customHeight="1" s="59">
      <c r="A2" s="84" t="inlineStr">
        <is>
          <t>INT0001</t>
        </is>
      </c>
      <c r="B2" s="84" t="inlineStr">
        <is>
          <t>EQ0002</t>
        </is>
      </c>
      <c r="C2" s="85">
        <f>IF(B2="","",IFERROR(VLOOKUP(B2,EQUIPEMENTS!A:B,2,0),""))</f>
        <v/>
      </c>
      <c r="D2" s="84" t="inlineStr">
        <is>
          <t>Corrective</t>
        </is>
      </c>
      <c r="E2" s="84" t="inlineStr">
        <is>
          <t>Bloc opératoire</t>
        </is>
      </c>
      <c r="F2" s="86" t="inlineStr">
        <is>
          <t>2025-05-01</t>
        </is>
      </c>
      <c r="G2" s="86" t="inlineStr">
        <is>
          <t>2025-05-01</t>
        </is>
      </c>
      <c r="H2" s="84" t="inlineStr">
        <is>
          <t>TECH02</t>
        </is>
      </c>
      <c r="I2" s="84" t="inlineStr">
        <is>
          <t>Ne filtre plus correctement</t>
        </is>
      </c>
      <c r="J2" s="84" t="inlineStr">
        <is>
          <t>Nettoyage et commande filtre</t>
        </is>
      </c>
      <c r="K2" s="84" t="inlineStr">
        <is>
          <t>1</t>
        </is>
      </c>
      <c r="L2" s="84" t="inlineStr">
        <is>
          <t>En cours</t>
        </is>
      </c>
      <c r="M2" s="84" t="inlineStr">
        <is>
          <t>FILTRE-01</t>
        </is>
      </c>
      <c r="N2" s="84" t="inlineStr">
        <is>
          <t>COMP004</t>
        </is>
      </c>
      <c r="O2" s="94">
        <f>IF(AND(L2&lt;&gt;"Clôturée",F2&lt;&gt;""),TODAY()-F2,"")</f>
        <v/>
      </c>
      <c r="P2" s="84" t="inlineStr">
        <is>
          <t>Retour prestataire attendu</t>
        </is>
      </c>
    </row>
    <row r="3" ht="19.5" customHeight="1" s="59">
      <c r="A3" s="87" t="inlineStr">
        <is>
          <t>INT0002</t>
        </is>
      </c>
      <c r="B3" s="87" t="inlineStr">
        <is>
          <t>EQ0003</t>
        </is>
      </c>
      <c r="C3" s="88">
        <f>IF(B3="","",IFERROR(VLOOKUP(B3,EQUIPEMENTS!A:B,2,0),""))</f>
        <v/>
      </c>
      <c r="D3" s="87" t="inlineStr">
        <is>
          <t>Corrective</t>
        </is>
      </c>
      <c r="E3" s="87" t="inlineStr">
        <is>
          <t>Informatique/DSI</t>
        </is>
      </c>
      <c r="F3" s="89" t="inlineStr">
        <is>
          <t>2025-04-20</t>
        </is>
      </c>
      <c r="G3" s="89" t="inlineStr">
        <is>
          <t>2025-04-20</t>
        </is>
      </c>
      <c r="H3" s="87" t="inlineStr">
        <is>
          <t>TECH03</t>
        </is>
      </c>
      <c r="I3" s="87" t="inlineStr">
        <is>
          <t>Dalle écran cassée</t>
        </is>
      </c>
      <c r="J3" s="87" t="inlineStr">
        <is>
          <t>Commande pièce</t>
        </is>
      </c>
      <c r="K3" s="87" t="inlineStr">
        <is>
          <t>0.5</t>
        </is>
      </c>
      <c r="L3" s="87" t="inlineStr">
        <is>
          <t>En cours</t>
        </is>
      </c>
      <c r="M3" s="87" t="inlineStr">
        <is>
          <t>DALLE-HP840</t>
        </is>
      </c>
      <c r="N3" s="87" t="inlineStr">
        <is>
          <t>COMP001</t>
        </is>
      </c>
      <c r="O3" s="95">
        <f>IF(AND(L3&lt;&gt;"Clôturée",F3&lt;&gt;""),TODAY()-F3,"")</f>
        <v/>
      </c>
      <c r="P3" s="87" t="inlineStr">
        <is>
          <t>En attente livraison dalle</t>
        </is>
      </c>
    </row>
    <row r="4" ht="19.5" customHeight="1" s="59">
      <c r="A4" s="84" t="inlineStr">
        <is>
          <t>INT0003</t>
        </is>
      </c>
      <c r="B4" s="84" t="inlineStr">
        <is>
          <t>EQ0001</t>
        </is>
      </c>
      <c r="C4" s="85">
        <f>IF(B4="","",IFERROR(VLOOKUP(B4,EQUIPEMENTS!A:B,2,0),""))</f>
        <v/>
      </c>
      <c r="D4" s="84" t="inlineStr">
        <is>
          <t>Préventive</t>
        </is>
      </c>
      <c r="E4" s="84" t="inlineStr">
        <is>
          <t>Service technique</t>
        </is>
      </c>
      <c r="F4" s="86" t="inlineStr">
        <is>
          <t>2025-01-10</t>
        </is>
      </c>
      <c r="G4" s="86" t="inlineStr">
        <is>
          <t>2025-01-10</t>
        </is>
      </c>
      <c r="H4" s="84" t="inlineStr">
        <is>
          <t>TECH01</t>
        </is>
      </c>
      <c r="I4" s="84" t="inlineStr">
        <is>
          <t>Maintenance semestrielle</t>
        </is>
      </c>
      <c r="J4" s="84" t="inlineStr">
        <is>
          <t>Nettoyage + vérification</t>
        </is>
      </c>
      <c r="K4" s="84" t="inlineStr">
        <is>
          <t>3</t>
        </is>
      </c>
      <c r="L4" s="84" t="inlineStr">
        <is>
          <t>Clôturée</t>
        </is>
      </c>
      <c r="M4" s="84" t="n"/>
      <c r="N4" s="84" t="n"/>
      <c r="O4" s="94">
        <f>IF(AND(L4&lt;&gt;"Clôturée",F4&lt;&gt;""),TODAY()-F4,"")</f>
        <v/>
      </c>
      <c r="P4" s="84" t="inlineStr">
        <is>
          <t>RAS</t>
        </is>
      </c>
    </row>
    <row r="5" ht="15" customHeight="1" s="59">
      <c r="A5" s="58" t="n"/>
      <c r="B5" s="58" t="n"/>
      <c r="C5" s="98">
        <f>IF(B5="","",IFERROR(VLOOKUP(B5,EQUIPEMENTS!A:B,2,0),""))</f>
        <v/>
      </c>
      <c r="D5" s="58" t="n"/>
      <c r="F5" s="96" t="n"/>
      <c r="G5" s="91" t="n"/>
      <c r="L5" s="58" t="n"/>
      <c r="O5" s="97">
        <f>IF(AND(L5&lt;&gt;"Clôturée",F5&lt;&gt;""),TODAY()-F5,"")</f>
        <v/>
      </c>
    </row>
    <row r="6" ht="15" customHeight="1" s="59">
      <c r="C6" s="98">
        <f>IF(B6="","",IFERROR(VLOOKUP(B6,EQUIPEMENTS!A:B,2,0),""))</f>
        <v/>
      </c>
      <c r="F6" s="91" t="n"/>
      <c r="G6" s="91" t="n"/>
      <c r="O6" s="97">
        <f>IF(AND(L6&lt;&gt;"Clôturée",F6&lt;&gt;""),TODAY()-F6,"")</f>
        <v/>
      </c>
    </row>
    <row r="7" ht="15" customHeight="1" s="59">
      <c r="C7" s="98">
        <f>IF(B7="","",IFERROR(VLOOKUP(B7,EQUIPEMENTS!A:B,2,0),""))</f>
        <v/>
      </c>
      <c r="F7" s="91" t="n"/>
      <c r="G7" s="91" t="n"/>
      <c r="O7" s="97">
        <f>IF(AND(L7&lt;&gt;"Clôturée",F7&lt;&gt;""),TODAY()-F7,"")</f>
        <v/>
      </c>
    </row>
    <row r="8" ht="15" customHeight="1" s="59">
      <c r="C8" s="98">
        <f>IF(B8="","",IFERROR(VLOOKUP(B8,EQUIPEMENTS!A:B,2,0),""))</f>
        <v/>
      </c>
      <c r="F8" s="91" t="n"/>
      <c r="G8" s="91" t="n"/>
      <c r="O8" s="97">
        <f>IF(AND(L8&lt;&gt;"Clôturée",F8&lt;&gt;""),TODAY()-F8,"")</f>
        <v/>
      </c>
    </row>
    <row r="9" ht="15" customHeight="1" s="59">
      <c r="C9" s="98">
        <f>IF(B9="","",IFERROR(VLOOKUP(B9,EQUIPEMENTS!A:B,2,0),""))</f>
        <v/>
      </c>
      <c r="F9" s="91" t="n"/>
      <c r="G9" s="91" t="n"/>
      <c r="O9" s="97">
        <f>IF(AND(L9&lt;&gt;"Clôturée",F9&lt;&gt;""),TODAY()-F9,"")</f>
        <v/>
      </c>
    </row>
    <row r="10" ht="15" customHeight="1" s="59">
      <c r="C10" s="98">
        <f>IF(B10="","",IFERROR(VLOOKUP(B10,EQUIPEMENTS!A:B,2,0),""))</f>
        <v/>
      </c>
      <c r="F10" s="91" t="n"/>
      <c r="G10" s="91" t="n"/>
      <c r="O10" s="97">
        <f>IF(AND(L10&lt;&gt;"Clôturée",F10&lt;&gt;""),TODAY()-F10,"")</f>
        <v/>
      </c>
    </row>
    <row r="11" ht="15" customHeight="1" s="59">
      <c r="C11" s="98">
        <f>IF(B11="","",IFERROR(VLOOKUP(B11,EQUIPEMENTS!A:B,2,0),""))</f>
        <v/>
      </c>
      <c r="F11" s="91" t="n"/>
      <c r="G11" s="91" t="n"/>
      <c r="O11" s="97">
        <f>IF(AND(L11&lt;&gt;"Clôturée",F11&lt;&gt;""),TODAY()-F11,"")</f>
        <v/>
      </c>
    </row>
    <row r="12" ht="15" customHeight="1" s="59">
      <c r="C12" s="98">
        <f>IF(B12="","",IFERROR(VLOOKUP(B12,EQUIPEMENTS!A:B,2,0),""))</f>
        <v/>
      </c>
      <c r="F12" s="91" t="n"/>
      <c r="G12" s="91" t="n"/>
      <c r="O12" s="97">
        <f>IF(AND(L12&lt;&gt;"Clôturée",F12&lt;&gt;""),TODAY()-F12,"")</f>
        <v/>
      </c>
    </row>
    <row r="13" ht="15" customHeight="1" s="59">
      <c r="C13" s="98">
        <f>IF(B13="","",IFERROR(VLOOKUP(B13,EQUIPEMENTS!A:B,2,0),""))</f>
        <v/>
      </c>
      <c r="F13" s="91" t="n"/>
      <c r="G13" s="91" t="n"/>
      <c r="O13" s="97">
        <f>IF(AND(L13&lt;&gt;"Clôturée",F13&lt;&gt;""),TODAY()-F13,"")</f>
        <v/>
      </c>
    </row>
    <row r="14" ht="15" customHeight="1" s="59">
      <c r="C14" s="98">
        <f>IF(B14="","",IFERROR(VLOOKUP(B14,EQUIPEMENTS!A:B,2,0),""))</f>
        <v/>
      </c>
      <c r="F14" s="91" t="n"/>
      <c r="G14" s="91" t="n"/>
      <c r="O14" s="97">
        <f>IF(AND(L14&lt;&gt;"Clôturée",F14&lt;&gt;""),TODAY()-F14,"")</f>
        <v/>
      </c>
    </row>
    <row r="15" ht="15" customHeight="1" s="59">
      <c r="C15" s="98">
        <f>IF(B15="","",IFERROR(VLOOKUP(B15,EQUIPEMENTS!A:B,2,0),""))</f>
        <v/>
      </c>
      <c r="F15" s="91" t="n"/>
      <c r="G15" s="91" t="n"/>
      <c r="O15" s="97">
        <f>IF(AND(L15&lt;&gt;"Clôturée",F15&lt;&gt;""),TODAY()-F15,"")</f>
        <v/>
      </c>
    </row>
    <row r="16" ht="15" customHeight="1" s="59">
      <c r="C16" s="98">
        <f>IF(B16="","",IFERROR(VLOOKUP(B16,EQUIPEMENTS!A:B,2,0),""))</f>
        <v/>
      </c>
      <c r="F16" s="91" t="n"/>
      <c r="G16" s="91" t="n"/>
      <c r="O16" s="97">
        <f>IF(AND(L16&lt;&gt;"Clôturée",F16&lt;&gt;""),TODAY()-F16,"")</f>
        <v/>
      </c>
    </row>
    <row r="17" ht="15" customHeight="1" s="59">
      <c r="C17" s="98">
        <f>IF(B17="","",IFERROR(VLOOKUP(B17,EQUIPEMENTS!A:B,2,0),""))</f>
        <v/>
      </c>
      <c r="F17" s="91" t="n"/>
      <c r="G17" s="91" t="n"/>
      <c r="O17" s="97">
        <f>IF(AND(L17&lt;&gt;"Clôturée",F17&lt;&gt;""),TODAY()-F17,"")</f>
        <v/>
      </c>
    </row>
    <row r="18" ht="15" customHeight="1" s="59">
      <c r="C18" s="98">
        <f>IF(B18="","",IFERROR(VLOOKUP(B18,EQUIPEMENTS!A:B,2,0),""))</f>
        <v/>
      </c>
      <c r="F18" s="91" t="n"/>
      <c r="G18" s="91" t="n"/>
      <c r="O18" s="97">
        <f>IF(AND(L18&lt;&gt;"Clôturée",F18&lt;&gt;""),TODAY()-F18,"")</f>
        <v/>
      </c>
    </row>
    <row r="19" ht="15" customHeight="1" s="59">
      <c r="C19" s="98">
        <f>IF(B19="","",IFERROR(VLOOKUP(B19,EQUIPEMENTS!A:B,2,0),""))</f>
        <v/>
      </c>
      <c r="F19" s="91" t="n"/>
      <c r="G19" s="91" t="n"/>
      <c r="O19" s="97">
        <f>IF(AND(L19&lt;&gt;"Clôturée",F19&lt;&gt;""),TODAY()-F19,"")</f>
        <v/>
      </c>
    </row>
    <row r="20" ht="15" customHeight="1" s="59">
      <c r="C20" s="98">
        <f>IF(B20="","",IFERROR(VLOOKUP(B20,EQUIPEMENTS!A:B,2,0),""))</f>
        <v/>
      </c>
      <c r="F20" s="91" t="n"/>
      <c r="G20" s="91" t="n"/>
      <c r="O20" s="97">
        <f>IF(AND(L20&lt;&gt;"Clôturée",F20&lt;&gt;""),TODAY()-F20,"")</f>
        <v/>
      </c>
    </row>
    <row r="21" ht="15" customHeight="1" s="59">
      <c r="C21" s="98">
        <f>IF(B21="","",IFERROR(VLOOKUP(B21,EQUIPEMENTS!A:B,2,0),""))</f>
        <v/>
      </c>
      <c r="F21" s="91" t="n"/>
      <c r="G21" s="91" t="n"/>
      <c r="O21" s="97">
        <f>IF(AND(L21&lt;&gt;"Clôturée",F21&lt;&gt;""),TODAY()-F21,"")</f>
        <v/>
      </c>
    </row>
    <row r="22" ht="15" customHeight="1" s="59">
      <c r="C22" s="98">
        <f>IF(B22="","",IFERROR(VLOOKUP(B22,EQUIPEMENTS!A:B,2,0),""))</f>
        <v/>
      </c>
      <c r="F22" s="91" t="n"/>
      <c r="G22" s="91" t="n"/>
      <c r="O22" s="97">
        <f>IF(AND(L22&lt;&gt;"Clôturée",F22&lt;&gt;""),TODAY()-F22,"")</f>
        <v/>
      </c>
    </row>
    <row r="23" ht="15" customHeight="1" s="59">
      <c r="C23" s="98">
        <f>IF(B23="","",IFERROR(VLOOKUP(B23,EQUIPEMENTS!A:B,2,0),""))</f>
        <v/>
      </c>
      <c r="F23" s="91" t="n"/>
      <c r="G23" s="91" t="n"/>
      <c r="O23" s="97">
        <f>IF(AND(L23&lt;&gt;"Clôturée",F23&lt;&gt;""),TODAY()-F23,"")</f>
        <v/>
      </c>
    </row>
    <row r="24" ht="15" customHeight="1" s="59">
      <c r="C24" s="98">
        <f>IF(B24="","",IFERROR(VLOOKUP(B24,EQUIPEMENTS!A:B,2,0),""))</f>
        <v/>
      </c>
      <c r="F24" s="91" t="n"/>
      <c r="G24" s="91" t="n"/>
      <c r="O24" s="97">
        <f>IF(AND(L24&lt;&gt;"Clôturée",F24&lt;&gt;""),TODAY()-F24,"")</f>
        <v/>
      </c>
    </row>
    <row r="25" ht="15" customHeight="1" s="59">
      <c r="C25" s="98">
        <f>IF(B25="","",IFERROR(VLOOKUP(B25,EQUIPEMENTS!A:B,2,0),""))</f>
        <v/>
      </c>
      <c r="F25" s="91" t="n"/>
      <c r="G25" s="91" t="n"/>
      <c r="O25" s="97">
        <f>IF(AND(L25&lt;&gt;"Clôturée",F25&lt;&gt;""),TODAY()-F25,"")</f>
        <v/>
      </c>
    </row>
    <row r="26" ht="15" customHeight="1" s="59">
      <c r="C26" s="98">
        <f>IF(B26="","",IFERROR(VLOOKUP(B26,EQUIPEMENTS!A:B,2,0),""))</f>
        <v/>
      </c>
      <c r="F26" s="91" t="n"/>
      <c r="G26" s="91" t="n"/>
      <c r="O26" s="97">
        <f>IF(AND(L26&lt;&gt;"Clôturée",F26&lt;&gt;""),TODAY()-F26,"")</f>
        <v/>
      </c>
    </row>
    <row r="27" ht="15" customHeight="1" s="59">
      <c r="C27" s="98">
        <f>IF(B27="","",IFERROR(VLOOKUP(B27,EQUIPEMENTS!A:B,2,0),""))</f>
        <v/>
      </c>
      <c r="F27" s="91" t="n"/>
      <c r="G27" s="91" t="n"/>
      <c r="O27" s="97">
        <f>IF(AND(L27&lt;&gt;"Clôturée",F27&lt;&gt;""),TODAY()-F27,"")</f>
        <v/>
      </c>
    </row>
    <row r="28" ht="15" customHeight="1" s="59">
      <c r="C28" s="98">
        <f>IF(B28="","",IFERROR(VLOOKUP(B28,EQUIPEMENTS!A:B,2,0),""))</f>
        <v/>
      </c>
      <c r="F28" s="91" t="n"/>
      <c r="G28" s="91" t="n"/>
      <c r="O28" s="97">
        <f>IF(AND(L28&lt;&gt;"Clôturée",F28&lt;&gt;""),TODAY()-F28,"")</f>
        <v/>
      </c>
    </row>
    <row r="29" ht="15" customHeight="1" s="59">
      <c r="C29" s="98">
        <f>IF(B29="","",IFERROR(VLOOKUP(B29,EQUIPEMENTS!A:B,2,0),""))</f>
        <v/>
      </c>
      <c r="F29" s="91" t="n"/>
      <c r="G29" s="91" t="n"/>
      <c r="O29" s="97">
        <f>IF(AND(L29&lt;&gt;"Clôturée",F29&lt;&gt;""),TODAY()-F29,"")</f>
        <v/>
      </c>
    </row>
    <row r="30" ht="15" customHeight="1" s="59">
      <c r="C30" s="98">
        <f>IF(B30="","",IFERROR(VLOOKUP(B30,EQUIPEMENTS!A:B,2,0),""))</f>
        <v/>
      </c>
      <c r="F30" s="91" t="n"/>
      <c r="G30" s="91" t="n"/>
      <c r="O30" s="97">
        <f>IF(AND(L30&lt;&gt;"Clôturée",F30&lt;&gt;""),TODAY()-F30,"")</f>
        <v/>
      </c>
    </row>
    <row r="31" ht="15" customHeight="1" s="59">
      <c r="C31" s="98">
        <f>IF(B31="","",IFERROR(VLOOKUP(B31,EQUIPEMENTS!A:B,2,0),""))</f>
        <v/>
      </c>
      <c r="F31" s="91" t="n"/>
      <c r="G31" s="91" t="n"/>
      <c r="O31" s="97">
        <f>IF(AND(L31&lt;&gt;"Clôturée",F31&lt;&gt;""),TODAY()-F31,"")</f>
        <v/>
      </c>
    </row>
    <row r="32" ht="15" customHeight="1" s="59">
      <c r="C32" s="98">
        <f>IF(B32="","",IFERROR(VLOOKUP(B32,EQUIPEMENTS!A:B,2,0),""))</f>
        <v/>
      </c>
      <c r="F32" s="91" t="n"/>
      <c r="G32" s="91" t="n"/>
      <c r="O32" s="97">
        <f>IF(AND(L32&lt;&gt;"Clôturée",F32&lt;&gt;""),TODAY()-F32,"")</f>
        <v/>
      </c>
    </row>
    <row r="33" ht="15" customHeight="1" s="59">
      <c r="C33" s="98">
        <f>IF(B33="","",IFERROR(VLOOKUP(B33,EQUIPEMENTS!A:B,2,0),""))</f>
        <v/>
      </c>
      <c r="F33" s="91" t="n"/>
      <c r="G33" s="91" t="n"/>
      <c r="O33" s="97">
        <f>IF(AND(L33&lt;&gt;"Clôturée",F33&lt;&gt;""),TODAY()-F33,"")</f>
        <v/>
      </c>
    </row>
    <row r="34" ht="15" customHeight="1" s="59">
      <c r="C34" s="98">
        <f>IF(B34="","",IFERROR(VLOOKUP(B34,EQUIPEMENTS!A:B,2,0),""))</f>
        <v/>
      </c>
      <c r="F34" s="91" t="n"/>
      <c r="G34" s="91" t="n"/>
      <c r="O34" s="97">
        <f>IF(AND(L34&lt;&gt;"Clôturée",F34&lt;&gt;""),TODAY()-F34,"")</f>
        <v/>
      </c>
    </row>
    <row r="35" ht="15" customHeight="1" s="59">
      <c r="C35" s="98">
        <f>IF(B35="","",IFERROR(VLOOKUP(B35,EQUIPEMENTS!A:B,2,0),""))</f>
        <v/>
      </c>
      <c r="F35" s="91" t="n"/>
      <c r="G35" s="91" t="n"/>
      <c r="O35" s="97">
        <f>IF(AND(L35&lt;&gt;"Clôturée",F35&lt;&gt;""),TODAY()-F35,"")</f>
        <v/>
      </c>
    </row>
    <row r="36" ht="15" customHeight="1" s="59">
      <c r="C36" s="98">
        <f>IF(B36="","",IFERROR(VLOOKUP(B36,EQUIPEMENTS!A:B,2,0),""))</f>
        <v/>
      </c>
      <c r="F36" s="91" t="n"/>
      <c r="G36" s="91" t="n"/>
      <c r="O36" s="97">
        <f>IF(AND(L36&lt;&gt;"Clôturée",F36&lt;&gt;""),TODAY()-F36,"")</f>
        <v/>
      </c>
    </row>
    <row r="37" ht="15" customHeight="1" s="59">
      <c r="C37" s="98">
        <f>IF(B37="","",IFERROR(VLOOKUP(B37,EQUIPEMENTS!A:B,2,0),""))</f>
        <v/>
      </c>
      <c r="F37" s="91" t="n"/>
      <c r="G37" s="91" t="n"/>
      <c r="O37" s="97">
        <f>IF(AND(L37&lt;&gt;"Clôturée",F37&lt;&gt;""),TODAY()-F37,"")</f>
        <v/>
      </c>
    </row>
    <row r="38" ht="15" customHeight="1" s="59">
      <c r="C38" s="98">
        <f>IF(B38="","",IFERROR(VLOOKUP(B38,EQUIPEMENTS!A:B,2,0),""))</f>
        <v/>
      </c>
      <c r="F38" s="91" t="n"/>
      <c r="G38" s="91" t="n"/>
      <c r="O38" s="97">
        <f>IF(AND(L38&lt;&gt;"Clôturée",F38&lt;&gt;""),TODAY()-F38,"")</f>
        <v/>
      </c>
    </row>
    <row r="39" ht="15" customHeight="1" s="59">
      <c r="C39" s="98">
        <f>IF(B39="","",IFERROR(VLOOKUP(B39,EQUIPEMENTS!A:B,2,0),""))</f>
        <v/>
      </c>
      <c r="F39" s="91" t="n"/>
      <c r="G39" s="91" t="n"/>
      <c r="O39" s="97">
        <f>IF(AND(L39&lt;&gt;"Clôturée",F39&lt;&gt;""),TODAY()-F39,"")</f>
        <v/>
      </c>
    </row>
    <row r="40" ht="15" customHeight="1" s="59">
      <c r="C40" s="98">
        <f>IF(B40="","",IFERROR(VLOOKUP(B40,EQUIPEMENTS!A:B,2,0),""))</f>
        <v/>
      </c>
      <c r="F40" s="91" t="n"/>
      <c r="G40" s="91" t="n"/>
      <c r="O40" s="97">
        <f>IF(AND(L40&lt;&gt;"Clôturée",F40&lt;&gt;""),TODAY()-F40,"")</f>
        <v/>
      </c>
    </row>
    <row r="41" ht="15" customHeight="1" s="59">
      <c r="C41" s="98">
        <f>IF(B41="","",IFERROR(VLOOKUP(B41,EQUIPEMENTS!A:B,2,0),""))</f>
        <v/>
      </c>
      <c r="F41" s="91" t="n"/>
      <c r="G41" s="91" t="n"/>
      <c r="O41" s="97">
        <f>IF(AND(L41&lt;&gt;"Clôturée",F41&lt;&gt;""),TODAY()-F41,"")</f>
        <v/>
      </c>
    </row>
    <row r="42" ht="15" customHeight="1" s="59">
      <c r="C42" s="98">
        <f>IF(B42="","",IFERROR(VLOOKUP(B42,EQUIPEMENTS!A:B,2,0),""))</f>
        <v/>
      </c>
      <c r="F42" s="91" t="n"/>
      <c r="G42" s="91" t="n"/>
      <c r="O42" s="97">
        <f>IF(AND(L42&lt;&gt;"Clôturée",F42&lt;&gt;""),TODAY()-F42,"")</f>
        <v/>
      </c>
    </row>
    <row r="43" ht="15" customHeight="1" s="59">
      <c r="C43" s="98">
        <f>IF(B43="","",IFERROR(VLOOKUP(B43,EQUIPEMENTS!A:B,2,0),""))</f>
        <v/>
      </c>
      <c r="F43" s="91" t="n"/>
      <c r="G43" s="91" t="n"/>
      <c r="O43" s="97">
        <f>IF(AND(L43&lt;&gt;"Clôturée",F43&lt;&gt;""),TODAY()-F43,"")</f>
        <v/>
      </c>
    </row>
    <row r="44" ht="15" customHeight="1" s="59">
      <c r="C44" s="98">
        <f>IF(B44="","",IFERROR(VLOOKUP(B44,EQUIPEMENTS!A:B,2,0),""))</f>
        <v/>
      </c>
      <c r="F44" s="91" t="n"/>
      <c r="G44" s="91" t="n"/>
      <c r="O44" s="97">
        <f>IF(AND(L44&lt;&gt;"Clôturée",F44&lt;&gt;""),TODAY()-F44,"")</f>
        <v/>
      </c>
    </row>
    <row r="45" ht="15" customHeight="1" s="59">
      <c r="C45" s="98">
        <f>IF(B45="","",IFERROR(VLOOKUP(B45,EQUIPEMENTS!A:B,2,0),""))</f>
        <v/>
      </c>
      <c r="F45" s="91" t="n"/>
      <c r="G45" s="91" t="n"/>
      <c r="O45" s="97">
        <f>IF(AND(L45&lt;&gt;"Clôturée",F45&lt;&gt;""),TODAY()-F45,"")</f>
        <v/>
      </c>
    </row>
    <row r="46" ht="15" customHeight="1" s="59">
      <c r="C46" s="98">
        <f>IF(B46="","",IFERROR(VLOOKUP(B46,EQUIPEMENTS!A:B,2,0),""))</f>
        <v/>
      </c>
      <c r="F46" s="91" t="n"/>
      <c r="G46" s="91" t="n"/>
      <c r="O46" s="97">
        <f>IF(AND(L46&lt;&gt;"Clôturée",F46&lt;&gt;""),TODAY()-F46,"")</f>
        <v/>
      </c>
    </row>
    <row r="47" ht="15" customHeight="1" s="59">
      <c r="C47" s="98">
        <f>IF(B47="","",IFERROR(VLOOKUP(B47,EQUIPEMENTS!A:B,2,0),""))</f>
        <v/>
      </c>
      <c r="F47" s="91" t="n"/>
      <c r="G47" s="91" t="n"/>
      <c r="O47" s="97">
        <f>IF(AND(L47&lt;&gt;"Clôturée",F47&lt;&gt;""),TODAY()-F47,"")</f>
        <v/>
      </c>
    </row>
    <row r="48" ht="15" customHeight="1" s="59">
      <c r="C48" s="98">
        <f>IF(B48="","",IFERROR(VLOOKUP(B48,EQUIPEMENTS!A:B,2,0),""))</f>
        <v/>
      </c>
      <c r="F48" s="91" t="n"/>
      <c r="G48" s="91" t="n"/>
      <c r="O48" s="97">
        <f>IF(AND(L48&lt;&gt;"Clôturée",F48&lt;&gt;""),TODAY()-F48,"")</f>
        <v/>
      </c>
    </row>
    <row r="49" ht="15" customHeight="1" s="59">
      <c r="C49" s="98">
        <f>IF(B49="","",IFERROR(VLOOKUP(B49,EQUIPEMENTS!A:B,2,0),""))</f>
        <v/>
      </c>
      <c r="F49" s="91" t="n"/>
      <c r="G49" s="91" t="n"/>
      <c r="O49" s="97">
        <f>IF(AND(L49&lt;&gt;"Clôturée",F49&lt;&gt;""),TODAY()-F49,"")</f>
        <v/>
      </c>
    </row>
    <row r="50" ht="15" customHeight="1" s="59">
      <c r="C50" s="98">
        <f>IF(B50="","",IFERROR(VLOOKUP(B50,EQUIPEMENTS!A:B,2,0),""))</f>
        <v/>
      </c>
      <c r="F50" s="91" t="n"/>
      <c r="G50" s="91" t="n"/>
      <c r="O50" s="97">
        <f>IF(AND(L50&lt;&gt;"Clôturée",F50&lt;&gt;""),TODAY()-F50,"")</f>
        <v/>
      </c>
    </row>
    <row r="51" ht="15" customHeight="1" s="59">
      <c r="C51" s="98">
        <f>IF(B51="","",IFERROR(VLOOKUP(B51,EQUIPEMENTS!A:B,2,0),""))</f>
        <v/>
      </c>
      <c r="F51" s="91" t="n"/>
      <c r="G51" s="91" t="n"/>
      <c r="O51" s="97">
        <f>IF(AND(L51&lt;&gt;"Clôturée",F51&lt;&gt;""),TODAY()-F51,"")</f>
        <v/>
      </c>
    </row>
    <row r="52" ht="15" customHeight="1" s="59">
      <c r="C52" s="98">
        <f>IF(B52="","",IFERROR(VLOOKUP(B52,EQUIPEMENTS!A:B,2,0),""))</f>
        <v/>
      </c>
      <c r="F52" s="91" t="n"/>
      <c r="G52" s="91" t="n"/>
      <c r="O52" s="97">
        <f>IF(AND(L52&lt;&gt;"Clôturée",F52&lt;&gt;""),TODAY()-F52,"")</f>
        <v/>
      </c>
    </row>
    <row r="53" ht="15" customHeight="1" s="59">
      <c r="C53" s="98">
        <f>IF(B53="","",IFERROR(VLOOKUP(B53,EQUIPEMENTS!A:B,2,0),""))</f>
        <v/>
      </c>
      <c r="F53" s="91" t="n"/>
      <c r="G53" s="91" t="n"/>
      <c r="O53" s="97">
        <f>IF(AND(L53&lt;&gt;"Clôturée",F53&lt;&gt;""),TODAY()-F53,"")</f>
        <v/>
      </c>
    </row>
    <row r="54" ht="15" customHeight="1" s="59">
      <c r="C54" s="98">
        <f>IF(B54="","",IFERROR(VLOOKUP(B54,EQUIPEMENTS!A:B,2,0),""))</f>
        <v/>
      </c>
      <c r="F54" s="91" t="n"/>
      <c r="G54" s="91" t="n"/>
      <c r="O54" s="97">
        <f>IF(AND(L54&lt;&gt;"Clôturée",F54&lt;&gt;""),TODAY()-F54,"")</f>
        <v/>
      </c>
    </row>
    <row r="55" ht="15" customHeight="1" s="59">
      <c r="C55" s="98">
        <f>IF(B55="","",IFERROR(VLOOKUP(B55,EQUIPEMENTS!A:B,2,0),""))</f>
        <v/>
      </c>
      <c r="F55" s="91" t="n"/>
      <c r="G55" s="91" t="n"/>
      <c r="O55" s="97">
        <f>IF(AND(L55&lt;&gt;"Clôturée",F55&lt;&gt;""),TODAY()-F55,"")</f>
        <v/>
      </c>
    </row>
    <row r="56" ht="15" customHeight="1" s="59">
      <c r="C56" s="98">
        <f>IF(B56="","",IFERROR(VLOOKUP(B56,EQUIPEMENTS!A:B,2,0),""))</f>
        <v/>
      </c>
      <c r="F56" s="91" t="n"/>
      <c r="G56" s="91" t="n"/>
      <c r="O56" s="97">
        <f>IF(AND(L56&lt;&gt;"Clôturée",F56&lt;&gt;""),TODAY()-F56,"")</f>
        <v/>
      </c>
    </row>
    <row r="57" ht="15" customHeight="1" s="59">
      <c r="C57" s="98">
        <f>IF(B57="","",IFERROR(VLOOKUP(B57,EQUIPEMENTS!A:B,2,0),""))</f>
        <v/>
      </c>
      <c r="F57" s="91" t="n"/>
      <c r="G57" s="91" t="n"/>
      <c r="O57" s="97">
        <f>IF(AND(L57&lt;&gt;"Clôturée",F57&lt;&gt;""),TODAY()-F57,"")</f>
        <v/>
      </c>
    </row>
    <row r="58" ht="15" customHeight="1" s="59">
      <c r="C58" s="98">
        <f>IF(B58="","",IFERROR(VLOOKUP(B58,EQUIPEMENTS!A:B,2,0),""))</f>
        <v/>
      </c>
      <c r="F58" s="91" t="n"/>
      <c r="G58" s="91" t="n"/>
      <c r="O58" s="97">
        <f>IF(AND(L58&lt;&gt;"Clôturée",F58&lt;&gt;""),TODAY()-F58,"")</f>
        <v/>
      </c>
    </row>
    <row r="59" ht="15" customHeight="1" s="59">
      <c r="C59" s="98">
        <f>IF(B59="","",IFERROR(VLOOKUP(B59,EQUIPEMENTS!A:B,2,0),""))</f>
        <v/>
      </c>
      <c r="F59" s="91" t="n"/>
      <c r="G59" s="91" t="n"/>
      <c r="O59" s="97">
        <f>IF(AND(L59&lt;&gt;"Clôturée",F59&lt;&gt;""),TODAY()-F59,"")</f>
        <v/>
      </c>
    </row>
    <row r="60" ht="15" customHeight="1" s="59">
      <c r="C60" s="98">
        <f>IF(B60="","",IFERROR(VLOOKUP(B60,EQUIPEMENTS!A:B,2,0),""))</f>
        <v/>
      </c>
      <c r="F60" s="91" t="n"/>
      <c r="G60" s="91" t="n"/>
      <c r="O60" s="97">
        <f>IF(AND(L60&lt;&gt;"Clôturée",F60&lt;&gt;""),TODAY()-F60,"")</f>
        <v/>
      </c>
    </row>
    <row r="61" ht="15" customHeight="1" s="59">
      <c r="C61" s="98">
        <f>IF(B61="","",IFERROR(VLOOKUP(B61,EQUIPEMENTS!A:B,2,0),""))</f>
        <v/>
      </c>
      <c r="F61" s="91" t="n"/>
      <c r="G61" s="91" t="n"/>
      <c r="O61" s="97">
        <f>IF(AND(L61&lt;&gt;"Clôturée",F61&lt;&gt;""),TODAY()-F61,"")</f>
        <v/>
      </c>
    </row>
    <row r="62" ht="15" customHeight="1" s="59">
      <c r="C62" s="98">
        <f>IF(B62="","",IFERROR(VLOOKUP(B62,EQUIPEMENTS!A:B,2,0),""))</f>
        <v/>
      </c>
      <c r="F62" s="91" t="n"/>
      <c r="G62" s="91" t="n"/>
      <c r="O62" s="97">
        <f>IF(AND(L62&lt;&gt;"Clôturée",F62&lt;&gt;""),TODAY()-F62,"")</f>
        <v/>
      </c>
    </row>
    <row r="63" ht="15" customHeight="1" s="59">
      <c r="C63" s="98">
        <f>IF(B63="","",IFERROR(VLOOKUP(B63,EQUIPEMENTS!A:B,2,0),""))</f>
        <v/>
      </c>
      <c r="F63" s="91" t="n"/>
      <c r="G63" s="91" t="n"/>
      <c r="O63" s="97">
        <f>IF(AND(L63&lt;&gt;"Clôturée",F63&lt;&gt;""),TODAY()-F63,"")</f>
        <v/>
      </c>
    </row>
    <row r="64" ht="15" customHeight="1" s="59">
      <c r="C64" s="98">
        <f>IF(B64="","",IFERROR(VLOOKUP(B64,EQUIPEMENTS!A:B,2,0),""))</f>
        <v/>
      </c>
      <c r="F64" s="91" t="n"/>
      <c r="G64" s="91" t="n"/>
      <c r="O64" s="97">
        <f>IF(AND(L64&lt;&gt;"Clôturée",F64&lt;&gt;""),TODAY()-F64,"")</f>
        <v/>
      </c>
    </row>
    <row r="65" ht="15" customHeight="1" s="59">
      <c r="C65" s="98">
        <f>IF(B65="","",IFERROR(VLOOKUP(B65,EQUIPEMENTS!A:B,2,0),""))</f>
        <v/>
      </c>
      <c r="F65" s="91" t="n"/>
      <c r="G65" s="91" t="n"/>
      <c r="O65" s="97">
        <f>IF(AND(L65&lt;&gt;"Clôturée",F65&lt;&gt;""),TODAY()-F65,"")</f>
        <v/>
      </c>
    </row>
    <row r="66" ht="15" customHeight="1" s="59">
      <c r="C66" s="98">
        <f>IF(B66="","",IFERROR(VLOOKUP(B66,EQUIPEMENTS!A:B,2,0),""))</f>
        <v/>
      </c>
      <c r="F66" s="91" t="n"/>
      <c r="G66" s="91" t="n"/>
      <c r="O66" s="97">
        <f>IF(AND(L66&lt;&gt;"Clôturée",F66&lt;&gt;""),TODAY()-F66,"")</f>
        <v/>
      </c>
    </row>
    <row r="67" ht="15" customHeight="1" s="59">
      <c r="C67" s="98">
        <f>IF(B67="","",IFERROR(VLOOKUP(B67,EQUIPEMENTS!A:B,2,0),""))</f>
        <v/>
      </c>
      <c r="F67" s="91" t="n"/>
      <c r="G67" s="91" t="n"/>
      <c r="O67" s="97">
        <f>IF(AND(L67&lt;&gt;"Clôturée",F67&lt;&gt;""),TODAY()-F67,"")</f>
        <v/>
      </c>
    </row>
    <row r="68" ht="15" customHeight="1" s="59">
      <c r="C68" s="98">
        <f>IF(B68="","",IFERROR(VLOOKUP(B68,EQUIPEMENTS!A:B,2,0),""))</f>
        <v/>
      </c>
      <c r="F68" s="91" t="n"/>
      <c r="G68" s="91" t="n"/>
      <c r="O68" s="97">
        <f>IF(AND(L68&lt;&gt;"Clôturée",F68&lt;&gt;""),TODAY()-F68,"")</f>
        <v/>
      </c>
    </row>
    <row r="69" ht="15" customHeight="1" s="59">
      <c r="C69" s="98">
        <f>IF(B69="","",IFERROR(VLOOKUP(B69,EQUIPEMENTS!A:B,2,0),""))</f>
        <v/>
      </c>
      <c r="F69" s="91" t="n"/>
      <c r="G69" s="91" t="n"/>
      <c r="O69" s="97">
        <f>IF(AND(L69&lt;&gt;"Clôturée",F69&lt;&gt;""),TODAY()-F69,"")</f>
        <v/>
      </c>
    </row>
    <row r="70" ht="15" customHeight="1" s="59">
      <c r="C70" s="98">
        <f>IF(B70="","",IFERROR(VLOOKUP(B70,EQUIPEMENTS!A:B,2,0),""))</f>
        <v/>
      </c>
      <c r="F70" s="91" t="n"/>
      <c r="G70" s="91" t="n"/>
      <c r="O70" s="97">
        <f>IF(AND(L70&lt;&gt;"Clôturée",F70&lt;&gt;""),TODAY()-F70,"")</f>
        <v/>
      </c>
    </row>
    <row r="71" ht="15" customHeight="1" s="59">
      <c r="C71" s="98">
        <f>IF(B71="","",IFERROR(VLOOKUP(B71,EQUIPEMENTS!A:B,2,0),""))</f>
        <v/>
      </c>
      <c r="F71" s="91" t="n"/>
      <c r="G71" s="91" t="n"/>
      <c r="O71" s="97">
        <f>IF(AND(L71&lt;&gt;"Clôturée",F71&lt;&gt;""),TODAY()-F71,"")</f>
        <v/>
      </c>
    </row>
    <row r="72" ht="15" customHeight="1" s="59">
      <c r="C72" s="98">
        <f>IF(B72="","",IFERROR(VLOOKUP(B72,EQUIPEMENTS!A:B,2,0),""))</f>
        <v/>
      </c>
      <c r="F72" s="91" t="n"/>
      <c r="G72" s="91" t="n"/>
      <c r="O72" s="97">
        <f>IF(AND(L72&lt;&gt;"Clôturée",F72&lt;&gt;""),TODAY()-F72,"")</f>
        <v/>
      </c>
    </row>
    <row r="73" ht="15" customHeight="1" s="59">
      <c r="C73" s="98">
        <f>IF(B73="","",IFERROR(VLOOKUP(B73,EQUIPEMENTS!A:B,2,0),""))</f>
        <v/>
      </c>
      <c r="F73" s="91" t="n"/>
      <c r="G73" s="91" t="n"/>
      <c r="O73" s="97">
        <f>IF(AND(L73&lt;&gt;"Clôturée",F73&lt;&gt;""),TODAY()-F73,"")</f>
        <v/>
      </c>
    </row>
    <row r="74" ht="15" customHeight="1" s="59">
      <c r="C74" s="98">
        <f>IF(B74="","",IFERROR(VLOOKUP(B74,EQUIPEMENTS!A:B,2,0),""))</f>
        <v/>
      </c>
      <c r="F74" s="91" t="n"/>
      <c r="G74" s="91" t="n"/>
      <c r="O74" s="97">
        <f>IF(AND(L74&lt;&gt;"Clôturée",F74&lt;&gt;""),TODAY()-F74,"")</f>
        <v/>
      </c>
    </row>
    <row r="75" ht="15" customHeight="1" s="59">
      <c r="C75" s="98">
        <f>IF(B75="","",IFERROR(VLOOKUP(B75,EQUIPEMENTS!A:B,2,0),""))</f>
        <v/>
      </c>
      <c r="F75" s="91" t="n"/>
      <c r="G75" s="91" t="n"/>
      <c r="O75" s="97">
        <f>IF(AND(L75&lt;&gt;"Clôturée",F75&lt;&gt;""),TODAY()-F75,"")</f>
        <v/>
      </c>
    </row>
    <row r="76" ht="15" customHeight="1" s="59">
      <c r="C76" s="98">
        <f>IF(B76="","",IFERROR(VLOOKUP(B76,EQUIPEMENTS!A:B,2,0),""))</f>
        <v/>
      </c>
      <c r="F76" s="91" t="n"/>
      <c r="G76" s="91" t="n"/>
      <c r="O76" s="97">
        <f>IF(AND(L76&lt;&gt;"Clôturée",F76&lt;&gt;""),TODAY()-F76,"")</f>
        <v/>
      </c>
    </row>
    <row r="77" ht="15" customHeight="1" s="59">
      <c r="C77" s="98">
        <f>IF(B77="","",IFERROR(VLOOKUP(B77,EQUIPEMENTS!A:B,2,0),""))</f>
        <v/>
      </c>
      <c r="F77" s="91" t="n"/>
      <c r="G77" s="91" t="n"/>
      <c r="O77" s="97">
        <f>IF(AND(L77&lt;&gt;"Clôturée",F77&lt;&gt;""),TODAY()-F77,"")</f>
        <v/>
      </c>
    </row>
    <row r="78" ht="15" customHeight="1" s="59">
      <c r="C78" s="98">
        <f>IF(B78="","",IFERROR(VLOOKUP(B78,EQUIPEMENTS!A:B,2,0),""))</f>
        <v/>
      </c>
      <c r="F78" s="91" t="n"/>
      <c r="G78" s="91" t="n"/>
      <c r="O78" s="97">
        <f>IF(AND(L78&lt;&gt;"Clôturée",F78&lt;&gt;""),TODAY()-F78,"")</f>
        <v/>
      </c>
    </row>
    <row r="79" ht="15" customHeight="1" s="59">
      <c r="C79" s="98">
        <f>IF(B79="","",IFERROR(VLOOKUP(B79,EQUIPEMENTS!A:B,2,0),""))</f>
        <v/>
      </c>
      <c r="F79" s="91" t="n"/>
      <c r="G79" s="91" t="n"/>
      <c r="O79" s="97">
        <f>IF(AND(L79&lt;&gt;"Clôturée",F79&lt;&gt;""),TODAY()-F79,"")</f>
        <v/>
      </c>
    </row>
    <row r="80" ht="15" customHeight="1" s="59">
      <c r="C80" s="98">
        <f>IF(B80="","",IFERROR(VLOOKUP(B80,EQUIPEMENTS!A:B,2,0),""))</f>
        <v/>
      </c>
      <c r="F80" s="91" t="n"/>
      <c r="G80" s="91" t="n"/>
      <c r="O80" s="97">
        <f>IF(AND(L80&lt;&gt;"Clôturée",F80&lt;&gt;""),TODAY()-F80,"")</f>
        <v/>
      </c>
    </row>
    <row r="81" ht="15" customHeight="1" s="59">
      <c r="C81" s="98">
        <f>IF(B81="","",IFERROR(VLOOKUP(B81,EQUIPEMENTS!A:B,2,0),""))</f>
        <v/>
      </c>
      <c r="F81" s="91" t="n"/>
      <c r="G81" s="91" t="n"/>
      <c r="O81" s="97">
        <f>IF(AND(L81&lt;&gt;"Clôturée",F81&lt;&gt;""),TODAY()-F81,"")</f>
        <v/>
      </c>
    </row>
    <row r="82" ht="15" customHeight="1" s="59">
      <c r="C82" s="98">
        <f>IF(B82="","",IFERROR(VLOOKUP(B82,EQUIPEMENTS!A:B,2,0),""))</f>
        <v/>
      </c>
      <c r="F82" s="91" t="n"/>
      <c r="G82" s="91" t="n"/>
      <c r="O82" s="97">
        <f>IF(AND(L82&lt;&gt;"Clôturée",F82&lt;&gt;""),TODAY()-F82,"")</f>
        <v/>
      </c>
    </row>
    <row r="83" ht="15" customHeight="1" s="59">
      <c r="C83" s="98">
        <f>IF(B83="","",IFERROR(VLOOKUP(B83,EQUIPEMENTS!A:B,2,0),""))</f>
        <v/>
      </c>
      <c r="F83" s="91" t="n"/>
      <c r="G83" s="91" t="n"/>
      <c r="O83" s="97">
        <f>IF(AND(L83&lt;&gt;"Clôturée",F83&lt;&gt;""),TODAY()-F83,"")</f>
        <v/>
      </c>
    </row>
    <row r="84" ht="15" customHeight="1" s="59">
      <c r="C84" s="98">
        <f>IF(B84="","",IFERROR(VLOOKUP(B84,EQUIPEMENTS!A:B,2,0),""))</f>
        <v/>
      </c>
      <c r="F84" s="91" t="n"/>
      <c r="G84" s="91" t="n"/>
      <c r="O84" s="97">
        <f>IF(AND(L84&lt;&gt;"Clôturée",F84&lt;&gt;""),TODAY()-F84,"")</f>
        <v/>
      </c>
    </row>
    <row r="85" ht="15" customHeight="1" s="59">
      <c r="C85" s="98">
        <f>IF(B85="","",IFERROR(VLOOKUP(B85,EQUIPEMENTS!A:B,2,0),""))</f>
        <v/>
      </c>
      <c r="F85" s="91" t="n"/>
      <c r="G85" s="91" t="n"/>
      <c r="O85" s="97">
        <f>IF(AND(L85&lt;&gt;"Clôturée",F85&lt;&gt;""),TODAY()-F85,"")</f>
        <v/>
      </c>
    </row>
    <row r="86" ht="15" customHeight="1" s="59">
      <c r="C86" s="98">
        <f>IF(B86="","",IFERROR(VLOOKUP(B86,EQUIPEMENTS!A:B,2,0),""))</f>
        <v/>
      </c>
      <c r="F86" s="91" t="n"/>
      <c r="G86" s="91" t="n"/>
      <c r="O86" s="97">
        <f>IF(AND(L86&lt;&gt;"Clôturée",F86&lt;&gt;""),TODAY()-F86,"")</f>
        <v/>
      </c>
    </row>
    <row r="87" ht="15" customHeight="1" s="59">
      <c r="C87" s="98">
        <f>IF(B87="","",IFERROR(VLOOKUP(B87,EQUIPEMENTS!A:B,2,0),""))</f>
        <v/>
      </c>
      <c r="F87" s="91" t="n"/>
      <c r="G87" s="91" t="n"/>
      <c r="O87" s="97">
        <f>IF(AND(L87&lt;&gt;"Clôturée",F87&lt;&gt;""),TODAY()-F87,"")</f>
        <v/>
      </c>
    </row>
    <row r="88" ht="15" customHeight="1" s="59">
      <c r="C88" s="98">
        <f>IF(B88="","",IFERROR(VLOOKUP(B88,EQUIPEMENTS!A:B,2,0),""))</f>
        <v/>
      </c>
      <c r="F88" s="91" t="n"/>
      <c r="G88" s="91" t="n"/>
      <c r="O88" s="97">
        <f>IF(AND(L88&lt;&gt;"Clôturée",F88&lt;&gt;""),TODAY()-F88,"")</f>
        <v/>
      </c>
    </row>
    <row r="89" ht="15" customHeight="1" s="59">
      <c r="C89" s="98">
        <f>IF(B89="","",IFERROR(VLOOKUP(B89,EQUIPEMENTS!A:B,2,0),""))</f>
        <v/>
      </c>
      <c r="F89" s="91" t="n"/>
      <c r="G89" s="91" t="n"/>
      <c r="O89" s="97">
        <f>IF(AND(L89&lt;&gt;"Clôturée",F89&lt;&gt;""),TODAY()-F89,"")</f>
        <v/>
      </c>
    </row>
    <row r="90" ht="15" customHeight="1" s="59">
      <c r="C90" s="98">
        <f>IF(B90="","",IFERROR(VLOOKUP(B90,EQUIPEMENTS!A:B,2,0),""))</f>
        <v/>
      </c>
      <c r="F90" s="91" t="n"/>
      <c r="G90" s="91" t="n"/>
      <c r="O90" s="97">
        <f>IF(AND(L90&lt;&gt;"Clôturée",F90&lt;&gt;""),TODAY()-F90,"")</f>
        <v/>
      </c>
    </row>
    <row r="91" ht="15" customHeight="1" s="59">
      <c r="C91" s="98">
        <f>IF(B91="","",IFERROR(VLOOKUP(B91,EQUIPEMENTS!A:B,2,0),""))</f>
        <v/>
      </c>
      <c r="F91" s="91" t="n"/>
      <c r="G91" s="91" t="n"/>
      <c r="O91" s="97">
        <f>IF(AND(L91&lt;&gt;"Clôturée",F91&lt;&gt;""),TODAY()-F91,"")</f>
        <v/>
      </c>
    </row>
    <row r="92" ht="15" customHeight="1" s="59">
      <c r="C92" s="98">
        <f>IF(B92="","",IFERROR(VLOOKUP(B92,EQUIPEMENTS!A:B,2,0),""))</f>
        <v/>
      </c>
      <c r="F92" s="91" t="n"/>
      <c r="G92" s="91" t="n"/>
      <c r="O92" s="97">
        <f>IF(AND(L92&lt;&gt;"Clôturée",F92&lt;&gt;""),TODAY()-F92,"")</f>
        <v/>
      </c>
    </row>
    <row r="93" ht="15" customHeight="1" s="59">
      <c r="C93" s="98">
        <f>IF(B93="","",IFERROR(VLOOKUP(B93,EQUIPEMENTS!A:B,2,0),""))</f>
        <v/>
      </c>
      <c r="F93" s="91" t="n"/>
      <c r="G93" s="91" t="n"/>
      <c r="O93" s="97">
        <f>IF(AND(L93&lt;&gt;"Clôturée",F93&lt;&gt;""),TODAY()-F93,"")</f>
        <v/>
      </c>
    </row>
    <row r="94" ht="15" customHeight="1" s="59">
      <c r="C94" s="98">
        <f>IF(B94="","",IFERROR(VLOOKUP(B94,EQUIPEMENTS!A:B,2,0),""))</f>
        <v/>
      </c>
      <c r="F94" s="91" t="n"/>
      <c r="G94" s="91" t="n"/>
      <c r="O94" s="97">
        <f>IF(AND(L94&lt;&gt;"Clôturée",F94&lt;&gt;""),TODAY()-F94,"")</f>
        <v/>
      </c>
    </row>
    <row r="95" ht="15" customHeight="1" s="59">
      <c r="C95" s="98">
        <f>IF(B95="","",IFERROR(VLOOKUP(B95,EQUIPEMENTS!A:B,2,0),""))</f>
        <v/>
      </c>
      <c r="F95" s="91" t="n"/>
      <c r="G95" s="91" t="n"/>
      <c r="O95" s="97">
        <f>IF(AND(L95&lt;&gt;"Clôturée",F95&lt;&gt;""),TODAY()-F95,"")</f>
        <v/>
      </c>
    </row>
    <row r="96" ht="15" customHeight="1" s="59">
      <c r="C96" s="98">
        <f>IF(B96="","",IFERROR(VLOOKUP(B96,EQUIPEMENTS!A:B,2,0),""))</f>
        <v/>
      </c>
      <c r="F96" s="91" t="n"/>
      <c r="G96" s="91" t="n"/>
      <c r="O96" s="97">
        <f>IF(AND(L96&lt;&gt;"Clôturée",F96&lt;&gt;""),TODAY()-F96,"")</f>
        <v/>
      </c>
    </row>
    <row r="97" ht="15" customHeight="1" s="59">
      <c r="C97" s="98">
        <f>IF(B97="","",IFERROR(VLOOKUP(B97,EQUIPEMENTS!A:B,2,0),""))</f>
        <v/>
      </c>
      <c r="F97" s="91" t="n"/>
      <c r="G97" s="91" t="n"/>
      <c r="O97" s="97">
        <f>IF(AND(L97&lt;&gt;"Clôturée",F97&lt;&gt;""),TODAY()-F97,"")</f>
        <v/>
      </c>
    </row>
    <row r="98" ht="15" customHeight="1" s="59">
      <c r="C98" s="98">
        <f>IF(B98="","",IFERROR(VLOOKUP(B98,EQUIPEMENTS!A:B,2,0),""))</f>
        <v/>
      </c>
      <c r="F98" s="91" t="n"/>
      <c r="G98" s="91" t="n"/>
      <c r="O98" s="97">
        <f>IF(AND(L98&lt;&gt;"Clôturée",F98&lt;&gt;""),TODAY()-F98,"")</f>
        <v/>
      </c>
    </row>
    <row r="99" ht="15" customHeight="1" s="59">
      <c r="C99" s="98">
        <f>IF(B99="","",IFERROR(VLOOKUP(B99,EQUIPEMENTS!A:B,2,0),""))</f>
        <v/>
      </c>
      <c r="F99" s="91" t="n"/>
      <c r="G99" s="91" t="n"/>
      <c r="O99" s="97">
        <f>IF(AND(L99&lt;&gt;"Clôturée",F99&lt;&gt;""),TODAY()-F99,"")</f>
        <v/>
      </c>
    </row>
    <row r="100" ht="15" customHeight="1" s="59">
      <c r="C100" s="98">
        <f>IF(B100="","",IFERROR(VLOOKUP(B100,EQUIPEMENTS!A:B,2,0),""))</f>
        <v/>
      </c>
      <c r="F100" s="91" t="n"/>
      <c r="G100" s="91" t="n"/>
      <c r="O100" s="97">
        <f>IF(AND(L100&lt;&gt;"Clôturée",F100&lt;&gt;""),TODAY()-F100,"")</f>
        <v/>
      </c>
    </row>
    <row r="101" ht="15" customHeight="1" s="59">
      <c r="C101" s="98">
        <f>IF(B101="","",IFERROR(VLOOKUP(B101,EQUIPEMENTS!A:B,2,0),""))</f>
        <v/>
      </c>
      <c r="F101" s="91" t="n"/>
      <c r="G101" s="91" t="n"/>
      <c r="O101" s="97">
        <f>IF(AND(L101&lt;&gt;"Clôturée",F101&lt;&gt;""),TODAY()-F101,"")</f>
        <v/>
      </c>
    </row>
    <row r="102" ht="15" customHeight="1" s="59">
      <c r="C102" s="98">
        <f>IF(B102="","",IFERROR(VLOOKUP(B102,EQUIPEMENTS!A:B,2,0),""))</f>
        <v/>
      </c>
      <c r="F102" s="91" t="n"/>
      <c r="G102" s="91" t="n"/>
      <c r="O102" s="97">
        <f>IF(AND(L102&lt;&gt;"Clôturée",F102&lt;&gt;""),TODAY()-F102,"")</f>
        <v/>
      </c>
    </row>
    <row r="103" ht="15" customHeight="1" s="59">
      <c r="C103" s="98">
        <f>IF(B103="","",IFERROR(VLOOKUP(B103,EQUIPEMENTS!A:B,2,0),""))</f>
        <v/>
      </c>
      <c r="F103" s="91" t="n"/>
      <c r="G103" s="91" t="n"/>
      <c r="O103" s="97">
        <f>IF(AND(L103&lt;&gt;"Clôturée",F103&lt;&gt;""),TODAY()-F103,"")</f>
        <v/>
      </c>
    </row>
    <row r="104" ht="15" customHeight="1" s="59">
      <c r="C104" s="98">
        <f>IF(B104="","",IFERROR(VLOOKUP(B104,EQUIPEMENTS!A:B,2,0),""))</f>
        <v/>
      </c>
      <c r="F104" s="91" t="n"/>
      <c r="G104" s="91" t="n"/>
      <c r="O104" s="97">
        <f>IF(AND(L104&lt;&gt;"Clôturée",F104&lt;&gt;""),TODAY()-F104,"")</f>
        <v/>
      </c>
    </row>
    <row r="105" ht="15" customHeight="1" s="59">
      <c r="C105" s="98">
        <f>IF(B105="","",IFERROR(VLOOKUP(B105,EQUIPEMENTS!A:B,2,0),""))</f>
        <v/>
      </c>
      <c r="F105" s="91" t="n"/>
      <c r="G105" s="91" t="n"/>
      <c r="O105" s="97">
        <f>IF(AND(L105&lt;&gt;"Clôturée",F105&lt;&gt;""),TODAY()-F105,"")</f>
        <v/>
      </c>
    </row>
    <row r="106" ht="15" customHeight="1" s="59">
      <c r="C106" s="98">
        <f>IF(B106="","",IFERROR(VLOOKUP(B106,EQUIPEMENTS!A:B,2,0),""))</f>
        <v/>
      </c>
      <c r="F106" s="91" t="n"/>
      <c r="G106" s="91" t="n"/>
      <c r="O106" s="97">
        <f>IF(AND(L106&lt;&gt;"Clôturée",F106&lt;&gt;""),TODAY()-F106,"")</f>
        <v/>
      </c>
    </row>
    <row r="107" ht="15" customHeight="1" s="59">
      <c r="C107" s="98">
        <f>IF(B107="","",IFERROR(VLOOKUP(B107,EQUIPEMENTS!A:B,2,0),""))</f>
        <v/>
      </c>
      <c r="F107" s="91" t="n"/>
      <c r="G107" s="91" t="n"/>
      <c r="O107" s="97">
        <f>IF(AND(L107&lt;&gt;"Clôturée",F107&lt;&gt;""),TODAY()-F107,"")</f>
        <v/>
      </c>
    </row>
    <row r="108" ht="15" customHeight="1" s="59">
      <c r="C108" s="98">
        <f>IF(B108="","",IFERROR(VLOOKUP(B108,EQUIPEMENTS!A:B,2,0),""))</f>
        <v/>
      </c>
      <c r="F108" s="91" t="n"/>
      <c r="G108" s="91" t="n"/>
      <c r="O108" s="97">
        <f>IF(AND(L108&lt;&gt;"Clôturée",F108&lt;&gt;""),TODAY()-F108,"")</f>
        <v/>
      </c>
    </row>
    <row r="109" ht="15" customHeight="1" s="59">
      <c r="C109" s="98">
        <f>IF(B109="","",IFERROR(VLOOKUP(B109,EQUIPEMENTS!A:B,2,0),""))</f>
        <v/>
      </c>
      <c r="F109" s="91" t="n"/>
      <c r="G109" s="91" t="n"/>
      <c r="O109" s="97">
        <f>IF(AND(L109&lt;&gt;"Clôturée",F109&lt;&gt;""),TODAY()-F109,"")</f>
        <v/>
      </c>
    </row>
    <row r="110" ht="15" customHeight="1" s="59">
      <c r="C110" s="98">
        <f>IF(B110="","",IFERROR(VLOOKUP(B110,EQUIPEMENTS!A:B,2,0),""))</f>
        <v/>
      </c>
      <c r="F110" s="91" t="n"/>
      <c r="G110" s="91" t="n"/>
      <c r="O110" s="97">
        <f>IF(AND(L110&lt;&gt;"Clôturée",F110&lt;&gt;""),TODAY()-F110,"")</f>
        <v/>
      </c>
    </row>
    <row r="111" ht="15" customHeight="1" s="59">
      <c r="C111" s="98">
        <f>IF(B111="","",IFERROR(VLOOKUP(B111,EQUIPEMENTS!A:B,2,0),""))</f>
        <v/>
      </c>
      <c r="F111" s="91" t="n"/>
      <c r="G111" s="91" t="n"/>
      <c r="O111" s="97">
        <f>IF(AND(L111&lt;&gt;"Clôturée",F111&lt;&gt;""),TODAY()-F111,"")</f>
        <v/>
      </c>
    </row>
    <row r="112" ht="15" customHeight="1" s="59">
      <c r="C112" s="98">
        <f>IF(B112="","",IFERROR(VLOOKUP(B112,EQUIPEMENTS!A:B,2,0),""))</f>
        <v/>
      </c>
      <c r="F112" s="91" t="n"/>
      <c r="G112" s="91" t="n"/>
      <c r="O112" s="97">
        <f>IF(AND(L112&lt;&gt;"Clôturée",F112&lt;&gt;""),TODAY()-F112,"")</f>
        <v/>
      </c>
    </row>
    <row r="113" ht="15" customHeight="1" s="59">
      <c r="C113" s="98">
        <f>IF(B113="","",IFERROR(VLOOKUP(B113,EQUIPEMENTS!A:B,2,0),""))</f>
        <v/>
      </c>
      <c r="F113" s="91" t="n"/>
      <c r="G113" s="91" t="n"/>
      <c r="O113" s="97">
        <f>IF(AND(L113&lt;&gt;"Clôturée",F113&lt;&gt;""),TODAY()-F113,"")</f>
        <v/>
      </c>
    </row>
    <row r="114" ht="15" customHeight="1" s="59">
      <c r="C114" s="98">
        <f>IF(B114="","",IFERROR(VLOOKUP(B114,EQUIPEMENTS!A:B,2,0),""))</f>
        <v/>
      </c>
      <c r="F114" s="91" t="n"/>
      <c r="G114" s="91" t="n"/>
      <c r="O114" s="97">
        <f>IF(AND(L114&lt;&gt;"Clôturée",F114&lt;&gt;""),TODAY()-F114,"")</f>
        <v/>
      </c>
    </row>
    <row r="115" ht="15" customHeight="1" s="59">
      <c r="C115" s="98">
        <f>IF(B115="","",IFERROR(VLOOKUP(B115,EQUIPEMENTS!A:B,2,0),""))</f>
        <v/>
      </c>
      <c r="F115" s="91" t="n"/>
      <c r="G115" s="91" t="n"/>
      <c r="O115" s="97">
        <f>IF(AND(L115&lt;&gt;"Clôturée",F115&lt;&gt;""),TODAY()-F115,"")</f>
        <v/>
      </c>
    </row>
    <row r="116" ht="15" customHeight="1" s="59">
      <c r="C116" s="98">
        <f>IF(B116="","",IFERROR(VLOOKUP(B116,EQUIPEMENTS!A:B,2,0),""))</f>
        <v/>
      </c>
      <c r="F116" s="91" t="n"/>
      <c r="G116" s="91" t="n"/>
      <c r="O116" s="97">
        <f>IF(AND(L116&lt;&gt;"Clôturée",F116&lt;&gt;""),TODAY()-F116,"")</f>
        <v/>
      </c>
    </row>
    <row r="117" ht="15" customHeight="1" s="59">
      <c r="C117" s="98">
        <f>IF(B117="","",IFERROR(VLOOKUP(B117,EQUIPEMENTS!A:B,2,0),""))</f>
        <v/>
      </c>
      <c r="F117" s="91" t="n"/>
      <c r="G117" s="91" t="n"/>
      <c r="O117" s="97">
        <f>IF(AND(L117&lt;&gt;"Clôturée",F117&lt;&gt;""),TODAY()-F117,"")</f>
        <v/>
      </c>
    </row>
    <row r="118" ht="15" customHeight="1" s="59">
      <c r="C118" s="98">
        <f>IF(B118="","",IFERROR(VLOOKUP(B118,EQUIPEMENTS!A:B,2,0),""))</f>
        <v/>
      </c>
      <c r="F118" s="91" t="n"/>
      <c r="G118" s="91" t="n"/>
      <c r="O118" s="97">
        <f>IF(AND(L118&lt;&gt;"Clôturée",F118&lt;&gt;""),TODAY()-F118,"")</f>
        <v/>
      </c>
    </row>
    <row r="119" ht="15" customHeight="1" s="59">
      <c r="C119" s="98">
        <f>IF(B119="","",IFERROR(VLOOKUP(B119,EQUIPEMENTS!A:B,2,0),""))</f>
        <v/>
      </c>
      <c r="F119" s="91" t="n"/>
      <c r="G119" s="91" t="n"/>
      <c r="O119" s="97">
        <f>IF(AND(L119&lt;&gt;"Clôturée",F119&lt;&gt;""),TODAY()-F119,"")</f>
        <v/>
      </c>
    </row>
    <row r="120" ht="15" customHeight="1" s="59">
      <c r="C120" s="98">
        <f>IF(B120="","",IFERROR(VLOOKUP(B120,EQUIPEMENTS!A:B,2,0),""))</f>
        <v/>
      </c>
      <c r="F120" s="91" t="n"/>
      <c r="G120" s="91" t="n"/>
      <c r="O120" s="97">
        <f>IF(AND(L120&lt;&gt;"Clôturée",F120&lt;&gt;""),TODAY()-F120,"")</f>
        <v/>
      </c>
    </row>
    <row r="121" ht="15" customHeight="1" s="59">
      <c r="C121" s="98">
        <f>IF(B121="","",IFERROR(VLOOKUP(B121,EQUIPEMENTS!A:B,2,0),""))</f>
        <v/>
      </c>
      <c r="F121" s="91" t="n"/>
      <c r="G121" s="91" t="n"/>
      <c r="O121" s="97">
        <f>IF(AND(L121&lt;&gt;"Clôturée",F121&lt;&gt;""),TODAY()-F121,"")</f>
        <v/>
      </c>
    </row>
    <row r="122" ht="15" customHeight="1" s="59">
      <c r="C122" s="98">
        <f>IF(B122="","",IFERROR(VLOOKUP(B122,EQUIPEMENTS!A:B,2,0),""))</f>
        <v/>
      </c>
      <c r="F122" s="91" t="n"/>
      <c r="G122" s="91" t="n"/>
      <c r="O122" s="97">
        <f>IF(AND(L122&lt;&gt;"Clôturée",F122&lt;&gt;""),TODAY()-F122,"")</f>
        <v/>
      </c>
    </row>
    <row r="123" ht="15" customHeight="1" s="59">
      <c r="C123" s="98">
        <f>IF(B123="","",IFERROR(VLOOKUP(B123,EQUIPEMENTS!A:B,2,0),""))</f>
        <v/>
      </c>
      <c r="F123" s="91" t="n"/>
      <c r="G123" s="91" t="n"/>
      <c r="O123" s="97">
        <f>IF(AND(L123&lt;&gt;"Clôturée",F123&lt;&gt;""),TODAY()-F123,"")</f>
        <v/>
      </c>
    </row>
    <row r="124" ht="15" customHeight="1" s="59">
      <c r="C124" s="98">
        <f>IF(B124="","",IFERROR(VLOOKUP(B124,EQUIPEMENTS!A:B,2,0),""))</f>
        <v/>
      </c>
      <c r="F124" s="91" t="n"/>
      <c r="G124" s="91" t="n"/>
      <c r="O124" s="97">
        <f>IF(AND(L124&lt;&gt;"Clôturée",F124&lt;&gt;""),TODAY()-F124,"")</f>
        <v/>
      </c>
    </row>
    <row r="125" ht="15" customHeight="1" s="59">
      <c r="C125" s="98">
        <f>IF(B125="","",IFERROR(VLOOKUP(B125,EQUIPEMENTS!A:B,2,0),""))</f>
        <v/>
      </c>
      <c r="F125" s="91" t="n"/>
      <c r="G125" s="91" t="n"/>
      <c r="O125" s="97">
        <f>IF(AND(L125&lt;&gt;"Clôturée",F125&lt;&gt;""),TODAY()-F125,"")</f>
        <v/>
      </c>
    </row>
    <row r="126" ht="15" customHeight="1" s="59">
      <c r="C126" s="98">
        <f>IF(B126="","",IFERROR(VLOOKUP(B126,EQUIPEMENTS!A:B,2,0),""))</f>
        <v/>
      </c>
      <c r="F126" s="91" t="n"/>
      <c r="G126" s="91" t="n"/>
      <c r="O126" s="97">
        <f>IF(AND(L126&lt;&gt;"Clôturée",F126&lt;&gt;""),TODAY()-F126,"")</f>
        <v/>
      </c>
    </row>
    <row r="127" ht="15" customHeight="1" s="59">
      <c r="C127" s="98">
        <f>IF(B127="","",IFERROR(VLOOKUP(B127,EQUIPEMENTS!A:B,2,0),""))</f>
        <v/>
      </c>
      <c r="F127" s="91" t="n"/>
      <c r="G127" s="91" t="n"/>
      <c r="O127" s="97">
        <f>IF(AND(L127&lt;&gt;"Clôturée",F127&lt;&gt;""),TODAY()-F127,"")</f>
        <v/>
      </c>
    </row>
    <row r="128" ht="15" customHeight="1" s="59">
      <c r="C128" s="98">
        <f>IF(B128="","",IFERROR(VLOOKUP(B128,EQUIPEMENTS!A:B,2,0),""))</f>
        <v/>
      </c>
      <c r="F128" s="91" t="n"/>
      <c r="G128" s="91" t="n"/>
      <c r="O128" s="97">
        <f>IF(AND(L128&lt;&gt;"Clôturée",F128&lt;&gt;""),TODAY()-F128,"")</f>
        <v/>
      </c>
    </row>
    <row r="129" ht="15" customHeight="1" s="59">
      <c r="C129" s="98">
        <f>IF(B129="","",IFERROR(VLOOKUP(B129,EQUIPEMENTS!A:B,2,0),""))</f>
        <v/>
      </c>
      <c r="F129" s="91" t="n"/>
      <c r="G129" s="91" t="n"/>
      <c r="O129" s="97">
        <f>IF(AND(L129&lt;&gt;"Clôturée",F129&lt;&gt;""),TODAY()-F129,"")</f>
        <v/>
      </c>
    </row>
    <row r="130" ht="15" customHeight="1" s="59">
      <c r="C130" s="98">
        <f>IF(B130="","",IFERROR(VLOOKUP(B130,EQUIPEMENTS!A:B,2,0),""))</f>
        <v/>
      </c>
      <c r="F130" s="91" t="n"/>
      <c r="G130" s="91" t="n"/>
      <c r="O130" s="97">
        <f>IF(AND(L130&lt;&gt;"Clôturée",F130&lt;&gt;""),TODAY()-F130,"")</f>
        <v/>
      </c>
    </row>
    <row r="131" ht="15" customHeight="1" s="59">
      <c r="C131" s="98">
        <f>IF(B131="","",IFERROR(VLOOKUP(B131,EQUIPEMENTS!A:B,2,0),""))</f>
        <v/>
      </c>
      <c r="F131" s="91" t="n"/>
      <c r="G131" s="91" t="n"/>
      <c r="O131" s="97">
        <f>IF(AND(L131&lt;&gt;"Clôturée",F131&lt;&gt;""),TODAY()-F131,"")</f>
        <v/>
      </c>
    </row>
    <row r="132" ht="15" customHeight="1" s="59">
      <c r="C132" s="98">
        <f>IF(B132="","",IFERROR(VLOOKUP(B132,EQUIPEMENTS!A:B,2,0),""))</f>
        <v/>
      </c>
      <c r="F132" s="91" t="n"/>
      <c r="G132" s="91" t="n"/>
      <c r="O132" s="97">
        <f>IF(AND(L132&lt;&gt;"Clôturée",F132&lt;&gt;""),TODAY()-F132,"")</f>
        <v/>
      </c>
    </row>
    <row r="133" ht="15" customHeight="1" s="59">
      <c r="C133" s="98">
        <f>IF(B133="","",IFERROR(VLOOKUP(B133,EQUIPEMENTS!A:B,2,0),""))</f>
        <v/>
      </c>
      <c r="F133" s="91" t="n"/>
      <c r="G133" s="91" t="n"/>
      <c r="O133" s="97">
        <f>IF(AND(L133&lt;&gt;"Clôturée",F133&lt;&gt;""),TODAY()-F133,"")</f>
        <v/>
      </c>
    </row>
    <row r="134" ht="15" customHeight="1" s="59">
      <c r="C134" s="98">
        <f>IF(B134="","",IFERROR(VLOOKUP(B134,EQUIPEMENTS!A:B,2,0),""))</f>
        <v/>
      </c>
      <c r="F134" s="91" t="n"/>
      <c r="G134" s="91" t="n"/>
      <c r="O134" s="97">
        <f>IF(AND(L134&lt;&gt;"Clôturée",F134&lt;&gt;""),TODAY()-F134,"")</f>
        <v/>
      </c>
    </row>
    <row r="135" ht="15" customHeight="1" s="59">
      <c r="C135" s="98">
        <f>IF(B135="","",IFERROR(VLOOKUP(B135,EQUIPEMENTS!A:B,2,0),""))</f>
        <v/>
      </c>
      <c r="F135" s="91" t="n"/>
      <c r="G135" s="91" t="n"/>
      <c r="O135" s="97">
        <f>IF(AND(L135&lt;&gt;"Clôturée",F135&lt;&gt;""),TODAY()-F135,"")</f>
        <v/>
      </c>
    </row>
    <row r="136" ht="15" customHeight="1" s="59">
      <c r="C136" s="98">
        <f>IF(B136="","",IFERROR(VLOOKUP(B136,EQUIPEMENTS!A:B,2,0),""))</f>
        <v/>
      </c>
      <c r="F136" s="91" t="n"/>
      <c r="G136" s="91" t="n"/>
      <c r="O136" s="97">
        <f>IF(AND(L136&lt;&gt;"Clôturée",F136&lt;&gt;""),TODAY()-F136,"")</f>
        <v/>
      </c>
    </row>
    <row r="137" ht="15" customHeight="1" s="59">
      <c r="C137" s="98">
        <f>IF(B137="","",IFERROR(VLOOKUP(B137,EQUIPEMENTS!A:B,2,0),""))</f>
        <v/>
      </c>
      <c r="F137" s="91" t="n"/>
      <c r="G137" s="91" t="n"/>
      <c r="O137" s="97">
        <f>IF(AND(L137&lt;&gt;"Clôturée",F137&lt;&gt;""),TODAY()-F137,"")</f>
        <v/>
      </c>
    </row>
    <row r="138" ht="15" customHeight="1" s="59">
      <c r="C138" s="98">
        <f>IF(B138="","",IFERROR(VLOOKUP(B138,EQUIPEMENTS!A:B,2,0),""))</f>
        <v/>
      </c>
      <c r="F138" s="91" t="n"/>
      <c r="G138" s="91" t="n"/>
      <c r="O138" s="97">
        <f>IF(AND(L138&lt;&gt;"Clôturée",F138&lt;&gt;""),TODAY()-F138,"")</f>
        <v/>
      </c>
    </row>
    <row r="139" ht="15" customHeight="1" s="59">
      <c r="C139" s="98">
        <f>IF(B139="","",IFERROR(VLOOKUP(B139,EQUIPEMENTS!A:B,2,0),""))</f>
        <v/>
      </c>
      <c r="F139" s="91" t="n"/>
      <c r="G139" s="91" t="n"/>
      <c r="O139" s="97">
        <f>IF(AND(L139&lt;&gt;"Clôturée",F139&lt;&gt;""),TODAY()-F139,"")</f>
        <v/>
      </c>
    </row>
    <row r="140" ht="15" customHeight="1" s="59">
      <c r="C140" s="98">
        <f>IF(B140="","",IFERROR(VLOOKUP(B140,EQUIPEMENTS!A:B,2,0),""))</f>
        <v/>
      </c>
      <c r="F140" s="91" t="n"/>
      <c r="G140" s="91" t="n"/>
      <c r="O140" s="97">
        <f>IF(AND(L140&lt;&gt;"Clôturée",F140&lt;&gt;""),TODAY()-F140,"")</f>
        <v/>
      </c>
    </row>
    <row r="141" ht="15" customHeight="1" s="59">
      <c r="C141" s="98">
        <f>IF(B141="","",IFERROR(VLOOKUP(B141,EQUIPEMENTS!A:B,2,0),""))</f>
        <v/>
      </c>
      <c r="F141" s="91" t="n"/>
      <c r="G141" s="91" t="n"/>
      <c r="O141" s="97">
        <f>IF(AND(L141&lt;&gt;"Clôturée",F141&lt;&gt;""),TODAY()-F141,"")</f>
        <v/>
      </c>
    </row>
    <row r="142" ht="15" customHeight="1" s="59">
      <c r="C142" s="98">
        <f>IF(B142="","",IFERROR(VLOOKUP(B142,EQUIPEMENTS!A:B,2,0),""))</f>
        <v/>
      </c>
      <c r="F142" s="91" t="n"/>
      <c r="G142" s="91" t="n"/>
      <c r="O142" s="97">
        <f>IF(AND(L142&lt;&gt;"Clôturée",F142&lt;&gt;""),TODAY()-F142,"")</f>
        <v/>
      </c>
    </row>
    <row r="143" ht="15" customHeight="1" s="59">
      <c r="C143" s="98">
        <f>IF(B143="","",IFERROR(VLOOKUP(B143,EQUIPEMENTS!A:B,2,0),""))</f>
        <v/>
      </c>
      <c r="F143" s="91" t="n"/>
      <c r="G143" s="91" t="n"/>
      <c r="O143" s="97">
        <f>IF(AND(L143&lt;&gt;"Clôturée",F143&lt;&gt;""),TODAY()-F143,"")</f>
        <v/>
      </c>
    </row>
    <row r="144" ht="15" customHeight="1" s="59">
      <c r="C144" s="98">
        <f>IF(B144="","",IFERROR(VLOOKUP(B144,EQUIPEMENTS!A:B,2,0),""))</f>
        <v/>
      </c>
      <c r="F144" s="91" t="n"/>
      <c r="G144" s="91" t="n"/>
      <c r="O144" s="97">
        <f>IF(AND(L144&lt;&gt;"Clôturée",F144&lt;&gt;""),TODAY()-F144,"")</f>
        <v/>
      </c>
    </row>
    <row r="145" ht="15" customHeight="1" s="59">
      <c r="C145" s="98">
        <f>IF(B145="","",IFERROR(VLOOKUP(B145,EQUIPEMENTS!A:B,2,0),""))</f>
        <v/>
      </c>
      <c r="F145" s="91" t="n"/>
      <c r="G145" s="91" t="n"/>
      <c r="O145" s="97">
        <f>IF(AND(L145&lt;&gt;"Clôturée",F145&lt;&gt;""),TODAY()-F145,"")</f>
        <v/>
      </c>
    </row>
    <row r="146" ht="15" customHeight="1" s="59">
      <c r="C146" s="98">
        <f>IF(B146="","",IFERROR(VLOOKUP(B146,EQUIPEMENTS!A:B,2,0),""))</f>
        <v/>
      </c>
      <c r="F146" s="91" t="n"/>
      <c r="G146" s="91" t="n"/>
      <c r="O146" s="97">
        <f>IF(AND(L146&lt;&gt;"Clôturée",F146&lt;&gt;""),TODAY()-F146,"")</f>
        <v/>
      </c>
    </row>
    <row r="147" ht="15" customHeight="1" s="59">
      <c r="C147" s="98">
        <f>IF(B147="","",IFERROR(VLOOKUP(B147,EQUIPEMENTS!A:B,2,0),""))</f>
        <v/>
      </c>
      <c r="F147" s="91" t="n"/>
      <c r="G147" s="91" t="n"/>
      <c r="O147" s="97">
        <f>IF(AND(L147&lt;&gt;"Clôturée",F147&lt;&gt;""),TODAY()-F147,"")</f>
        <v/>
      </c>
    </row>
    <row r="148" ht="15" customHeight="1" s="59">
      <c r="C148" s="98">
        <f>IF(B148="","",IFERROR(VLOOKUP(B148,EQUIPEMENTS!A:B,2,0),""))</f>
        <v/>
      </c>
      <c r="F148" s="91" t="n"/>
      <c r="G148" s="91" t="n"/>
      <c r="O148" s="97">
        <f>IF(AND(L148&lt;&gt;"Clôturée",F148&lt;&gt;""),TODAY()-F148,"")</f>
        <v/>
      </c>
    </row>
    <row r="149" ht="15" customHeight="1" s="59">
      <c r="C149" s="98">
        <f>IF(B149="","",IFERROR(VLOOKUP(B149,EQUIPEMENTS!A:B,2,0),""))</f>
        <v/>
      </c>
      <c r="F149" s="91" t="n"/>
      <c r="G149" s="91" t="n"/>
      <c r="O149" s="97">
        <f>IF(AND(L149&lt;&gt;"Clôturée",F149&lt;&gt;""),TODAY()-F149,"")</f>
        <v/>
      </c>
    </row>
    <row r="150" ht="15" customHeight="1" s="59">
      <c r="C150" s="98">
        <f>IF(B150="","",IFERROR(VLOOKUP(B150,EQUIPEMENTS!A:B,2,0),""))</f>
        <v/>
      </c>
      <c r="F150" s="91" t="n"/>
      <c r="G150" s="91" t="n"/>
      <c r="O150" s="97">
        <f>IF(AND(L150&lt;&gt;"Clôturée",F150&lt;&gt;""),TODAY()-F150,"")</f>
        <v/>
      </c>
    </row>
    <row r="151" ht="15" customHeight="1" s="59">
      <c r="C151" s="98">
        <f>IF(B151="","",IFERROR(VLOOKUP(B151,EQUIPEMENTS!A:B,2,0),""))</f>
        <v/>
      </c>
      <c r="F151" s="91" t="n"/>
      <c r="G151" s="91" t="n"/>
      <c r="O151" s="97">
        <f>IF(AND(L151&lt;&gt;"Clôturée",F151&lt;&gt;""),TODAY()-F151,"")</f>
        <v/>
      </c>
    </row>
    <row r="152" ht="15" customHeight="1" s="59">
      <c r="C152" s="98">
        <f>IF(B152="","",IFERROR(VLOOKUP(B152,EQUIPEMENTS!A:B,2,0),""))</f>
        <v/>
      </c>
      <c r="F152" s="91" t="n"/>
      <c r="G152" s="91" t="n"/>
      <c r="O152" s="97">
        <f>IF(AND(L152&lt;&gt;"Clôturée",F152&lt;&gt;""),TODAY()-F152,"")</f>
        <v/>
      </c>
    </row>
    <row r="153" ht="15" customHeight="1" s="59">
      <c r="C153" s="98">
        <f>IF(B153="","",IFERROR(VLOOKUP(B153,EQUIPEMENTS!A:B,2,0),""))</f>
        <v/>
      </c>
      <c r="F153" s="91" t="n"/>
      <c r="G153" s="91" t="n"/>
      <c r="O153" s="97">
        <f>IF(AND(L153&lt;&gt;"Clôturée",F153&lt;&gt;""),TODAY()-F153,"")</f>
        <v/>
      </c>
    </row>
    <row r="154" ht="15" customHeight="1" s="59">
      <c r="C154" s="98">
        <f>IF(B154="","",IFERROR(VLOOKUP(B154,EQUIPEMENTS!A:B,2,0),""))</f>
        <v/>
      </c>
      <c r="F154" s="91" t="n"/>
      <c r="G154" s="91" t="n"/>
      <c r="O154" s="97">
        <f>IF(AND(L154&lt;&gt;"Clôturée",F154&lt;&gt;""),TODAY()-F154,"")</f>
        <v/>
      </c>
    </row>
    <row r="155" ht="15" customHeight="1" s="59">
      <c r="C155" s="98">
        <f>IF(B155="","",IFERROR(VLOOKUP(B155,EQUIPEMENTS!A:B,2,0),""))</f>
        <v/>
      </c>
      <c r="F155" s="91" t="n"/>
      <c r="G155" s="91" t="n"/>
      <c r="O155" s="97">
        <f>IF(AND(L155&lt;&gt;"Clôturée",F155&lt;&gt;""),TODAY()-F155,"")</f>
        <v/>
      </c>
    </row>
    <row r="156" ht="15" customHeight="1" s="59">
      <c r="C156" s="98">
        <f>IF(B156="","",IFERROR(VLOOKUP(B156,EQUIPEMENTS!A:B,2,0),""))</f>
        <v/>
      </c>
      <c r="F156" s="91" t="n"/>
      <c r="G156" s="91" t="n"/>
      <c r="O156" s="97">
        <f>IF(AND(L156&lt;&gt;"Clôturée",F156&lt;&gt;""),TODAY()-F156,"")</f>
        <v/>
      </c>
    </row>
    <row r="157" ht="15" customHeight="1" s="59">
      <c r="C157" s="98">
        <f>IF(B157="","",IFERROR(VLOOKUP(B157,EQUIPEMENTS!A:B,2,0),""))</f>
        <v/>
      </c>
      <c r="F157" s="91" t="n"/>
      <c r="G157" s="91" t="n"/>
      <c r="O157" s="97">
        <f>IF(AND(L157&lt;&gt;"Clôturée",F157&lt;&gt;""),TODAY()-F157,"")</f>
        <v/>
      </c>
    </row>
    <row r="158" ht="15" customHeight="1" s="59">
      <c r="C158" s="98">
        <f>IF(B158="","",IFERROR(VLOOKUP(B158,EQUIPEMENTS!A:B,2,0),""))</f>
        <v/>
      </c>
      <c r="F158" s="91" t="n"/>
      <c r="G158" s="91" t="n"/>
      <c r="O158" s="97">
        <f>IF(AND(L158&lt;&gt;"Clôturée",F158&lt;&gt;""),TODAY()-F158,"")</f>
        <v/>
      </c>
    </row>
    <row r="159" ht="15" customHeight="1" s="59">
      <c r="C159" s="98">
        <f>IF(B159="","",IFERROR(VLOOKUP(B159,EQUIPEMENTS!A:B,2,0),""))</f>
        <v/>
      </c>
      <c r="F159" s="91" t="n"/>
      <c r="G159" s="91" t="n"/>
      <c r="O159" s="97">
        <f>IF(AND(L159&lt;&gt;"Clôturée",F159&lt;&gt;""),TODAY()-F159,"")</f>
        <v/>
      </c>
    </row>
    <row r="160" ht="15" customHeight="1" s="59">
      <c r="C160" s="98">
        <f>IF(B160="","",IFERROR(VLOOKUP(B160,EQUIPEMENTS!A:B,2,0),""))</f>
        <v/>
      </c>
      <c r="F160" s="91" t="n"/>
      <c r="G160" s="91" t="n"/>
      <c r="O160" s="97">
        <f>IF(AND(L160&lt;&gt;"Clôturée",F160&lt;&gt;""),TODAY()-F160,"")</f>
        <v/>
      </c>
    </row>
    <row r="161" ht="15" customHeight="1" s="59">
      <c r="C161" s="98">
        <f>IF(B161="","",IFERROR(VLOOKUP(B161,EQUIPEMENTS!A:B,2,0),""))</f>
        <v/>
      </c>
      <c r="F161" s="91" t="n"/>
      <c r="G161" s="91" t="n"/>
      <c r="O161" s="97">
        <f>IF(AND(L161&lt;&gt;"Clôturée",F161&lt;&gt;""),TODAY()-F161,"")</f>
        <v/>
      </c>
    </row>
    <row r="162" ht="15" customHeight="1" s="59">
      <c r="C162" s="98">
        <f>IF(B162="","",IFERROR(VLOOKUP(B162,EQUIPEMENTS!A:B,2,0),""))</f>
        <v/>
      </c>
      <c r="F162" s="91" t="n"/>
      <c r="G162" s="91" t="n"/>
      <c r="O162" s="97">
        <f>IF(AND(L162&lt;&gt;"Clôturée",F162&lt;&gt;""),TODAY()-F162,"")</f>
        <v/>
      </c>
    </row>
    <row r="163" ht="15" customHeight="1" s="59">
      <c r="C163" s="98">
        <f>IF(B163="","",IFERROR(VLOOKUP(B163,EQUIPEMENTS!A:B,2,0),""))</f>
        <v/>
      </c>
      <c r="F163" s="91" t="n"/>
      <c r="G163" s="91" t="n"/>
      <c r="O163" s="97">
        <f>IF(AND(L163&lt;&gt;"Clôturée",F163&lt;&gt;""),TODAY()-F163,"")</f>
        <v/>
      </c>
    </row>
    <row r="164" ht="15" customHeight="1" s="59">
      <c r="C164" s="98">
        <f>IF(B164="","",IFERROR(VLOOKUP(B164,EQUIPEMENTS!A:B,2,0),""))</f>
        <v/>
      </c>
      <c r="F164" s="91" t="n"/>
      <c r="G164" s="91" t="n"/>
      <c r="O164" s="97">
        <f>IF(AND(L164&lt;&gt;"Clôturée",F164&lt;&gt;""),TODAY()-F164,"")</f>
        <v/>
      </c>
    </row>
    <row r="165" ht="15" customHeight="1" s="59">
      <c r="C165" s="98">
        <f>IF(B165="","",IFERROR(VLOOKUP(B165,EQUIPEMENTS!A:B,2,0),""))</f>
        <v/>
      </c>
      <c r="F165" s="91" t="n"/>
      <c r="G165" s="91" t="n"/>
      <c r="O165" s="97">
        <f>IF(AND(L165&lt;&gt;"Clôturée",F165&lt;&gt;""),TODAY()-F165,"")</f>
        <v/>
      </c>
    </row>
    <row r="166" ht="15" customHeight="1" s="59">
      <c r="C166" s="98">
        <f>IF(B166="","",IFERROR(VLOOKUP(B166,EQUIPEMENTS!A:B,2,0),""))</f>
        <v/>
      </c>
      <c r="F166" s="91" t="n"/>
      <c r="G166" s="91" t="n"/>
      <c r="O166" s="97">
        <f>IF(AND(L166&lt;&gt;"Clôturée",F166&lt;&gt;""),TODAY()-F166,"")</f>
        <v/>
      </c>
    </row>
    <row r="167" ht="15" customHeight="1" s="59">
      <c r="C167" s="98">
        <f>IF(B167="","",IFERROR(VLOOKUP(B167,EQUIPEMENTS!A:B,2,0),""))</f>
        <v/>
      </c>
      <c r="F167" s="91" t="n"/>
      <c r="G167" s="91" t="n"/>
      <c r="O167" s="97">
        <f>IF(AND(L167&lt;&gt;"Clôturée",F167&lt;&gt;""),TODAY()-F167,"")</f>
        <v/>
      </c>
    </row>
    <row r="168" ht="15" customHeight="1" s="59">
      <c r="C168" s="98">
        <f>IF(B168="","",IFERROR(VLOOKUP(B168,EQUIPEMENTS!A:B,2,0),""))</f>
        <v/>
      </c>
      <c r="F168" s="91" t="n"/>
      <c r="G168" s="91" t="n"/>
      <c r="O168" s="97">
        <f>IF(AND(L168&lt;&gt;"Clôturée",F168&lt;&gt;""),TODAY()-F168,"")</f>
        <v/>
      </c>
    </row>
    <row r="169" ht="15" customHeight="1" s="59">
      <c r="C169" s="98">
        <f>IF(B169="","",IFERROR(VLOOKUP(B169,EQUIPEMENTS!A:B,2,0),""))</f>
        <v/>
      </c>
      <c r="F169" s="91" t="n"/>
      <c r="G169" s="91" t="n"/>
      <c r="O169" s="97">
        <f>IF(AND(L169&lt;&gt;"Clôturée",F169&lt;&gt;""),TODAY()-F169,"")</f>
        <v/>
      </c>
    </row>
    <row r="170" ht="15" customHeight="1" s="59">
      <c r="C170" s="98">
        <f>IF(B170="","",IFERROR(VLOOKUP(B170,EQUIPEMENTS!A:B,2,0),""))</f>
        <v/>
      </c>
      <c r="F170" s="91" t="n"/>
      <c r="G170" s="91" t="n"/>
      <c r="O170" s="97">
        <f>IF(AND(L170&lt;&gt;"Clôturée",F170&lt;&gt;""),TODAY()-F170,"")</f>
        <v/>
      </c>
    </row>
    <row r="171" ht="15" customHeight="1" s="59">
      <c r="C171" s="98">
        <f>IF(B171="","",IFERROR(VLOOKUP(B171,EQUIPEMENTS!A:B,2,0),""))</f>
        <v/>
      </c>
      <c r="F171" s="91" t="n"/>
      <c r="G171" s="91" t="n"/>
      <c r="O171" s="97">
        <f>IF(AND(L171&lt;&gt;"Clôturée",F171&lt;&gt;""),TODAY()-F171,"")</f>
        <v/>
      </c>
    </row>
    <row r="172" ht="15" customHeight="1" s="59">
      <c r="C172" s="98">
        <f>IF(B172="","",IFERROR(VLOOKUP(B172,EQUIPEMENTS!A:B,2,0),""))</f>
        <v/>
      </c>
      <c r="F172" s="91" t="n"/>
      <c r="G172" s="91" t="n"/>
      <c r="O172" s="97">
        <f>IF(AND(L172&lt;&gt;"Clôturée",F172&lt;&gt;""),TODAY()-F172,"")</f>
        <v/>
      </c>
    </row>
    <row r="173" ht="15" customHeight="1" s="59">
      <c r="C173" s="98">
        <f>IF(B173="","",IFERROR(VLOOKUP(B173,EQUIPEMENTS!A:B,2,0),""))</f>
        <v/>
      </c>
      <c r="F173" s="91" t="n"/>
      <c r="G173" s="91" t="n"/>
      <c r="O173" s="97">
        <f>IF(AND(L173&lt;&gt;"Clôturée",F173&lt;&gt;""),TODAY()-F173,"")</f>
        <v/>
      </c>
    </row>
    <row r="174" ht="15" customHeight="1" s="59">
      <c r="C174" s="98">
        <f>IF(B174="","",IFERROR(VLOOKUP(B174,EQUIPEMENTS!A:B,2,0),""))</f>
        <v/>
      </c>
      <c r="F174" s="91" t="n"/>
      <c r="G174" s="91" t="n"/>
      <c r="O174" s="97">
        <f>IF(AND(L174&lt;&gt;"Clôturée",F174&lt;&gt;""),TODAY()-F174,"")</f>
        <v/>
      </c>
    </row>
    <row r="175" ht="15" customHeight="1" s="59">
      <c r="C175" s="98">
        <f>IF(B175="","",IFERROR(VLOOKUP(B175,EQUIPEMENTS!A:B,2,0),""))</f>
        <v/>
      </c>
      <c r="F175" s="91" t="n"/>
      <c r="G175" s="91" t="n"/>
      <c r="O175" s="97">
        <f>IF(AND(L175&lt;&gt;"Clôturée",F175&lt;&gt;""),TODAY()-F175,"")</f>
        <v/>
      </c>
    </row>
    <row r="176" ht="15" customHeight="1" s="59">
      <c r="C176" s="98">
        <f>IF(B176="","",IFERROR(VLOOKUP(B176,EQUIPEMENTS!A:B,2,0),""))</f>
        <v/>
      </c>
      <c r="F176" s="91" t="n"/>
      <c r="G176" s="91" t="n"/>
      <c r="O176" s="97">
        <f>IF(AND(L176&lt;&gt;"Clôturée",F176&lt;&gt;""),TODAY()-F176,"")</f>
        <v/>
      </c>
    </row>
    <row r="177" ht="15" customHeight="1" s="59">
      <c r="C177" s="98">
        <f>IF(B177="","",IFERROR(VLOOKUP(B177,EQUIPEMENTS!A:B,2,0),""))</f>
        <v/>
      </c>
      <c r="F177" s="91" t="n"/>
      <c r="G177" s="91" t="n"/>
      <c r="O177" s="97">
        <f>IF(AND(L177&lt;&gt;"Clôturée",F177&lt;&gt;""),TODAY()-F177,"")</f>
        <v/>
      </c>
    </row>
    <row r="178" ht="15" customHeight="1" s="59">
      <c r="C178" s="98">
        <f>IF(B178="","",IFERROR(VLOOKUP(B178,EQUIPEMENTS!A:B,2,0),""))</f>
        <v/>
      </c>
      <c r="F178" s="91" t="n"/>
      <c r="G178" s="91" t="n"/>
      <c r="O178" s="97">
        <f>IF(AND(L178&lt;&gt;"Clôturée",F178&lt;&gt;""),TODAY()-F178,"")</f>
        <v/>
      </c>
    </row>
    <row r="179" ht="15" customHeight="1" s="59">
      <c r="C179" s="98">
        <f>IF(B179="","",IFERROR(VLOOKUP(B179,EQUIPEMENTS!A:B,2,0),""))</f>
        <v/>
      </c>
      <c r="F179" s="91" t="n"/>
      <c r="G179" s="91" t="n"/>
      <c r="O179" s="97">
        <f>IF(AND(L179&lt;&gt;"Clôturée",F179&lt;&gt;""),TODAY()-F179,"")</f>
        <v/>
      </c>
    </row>
    <row r="180" ht="15" customHeight="1" s="59">
      <c r="C180" s="98">
        <f>IF(B180="","",IFERROR(VLOOKUP(B180,EQUIPEMENTS!A:B,2,0),""))</f>
        <v/>
      </c>
      <c r="F180" s="91" t="n"/>
      <c r="G180" s="91" t="n"/>
      <c r="O180" s="97">
        <f>IF(AND(L180&lt;&gt;"Clôturée",F180&lt;&gt;""),TODAY()-F180,"")</f>
        <v/>
      </c>
    </row>
    <row r="181" ht="15" customHeight="1" s="59">
      <c r="C181" s="98">
        <f>IF(B181="","",IFERROR(VLOOKUP(B181,EQUIPEMENTS!A:B,2,0),""))</f>
        <v/>
      </c>
      <c r="F181" s="91" t="n"/>
      <c r="G181" s="91" t="n"/>
      <c r="O181" s="97">
        <f>IF(AND(L181&lt;&gt;"Clôturée",F181&lt;&gt;""),TODAY()-F181,"")</f>
        <v/>
      </c>
    </row>
    <row r="182" ht="15" customHeight="1" s="59">
      <c r="C182" s="98">
        <f>IF(B182="","",IFERROR(VLOOKUP(B182,EQUIPEMENTS!A:B,2,0),""))</f>
        <v/>
      </c>
      <c r="F182" s="91" t="n"/>
      <c r="G182" s="91" t="n"/>
      <c r="O182" s="97">
        <f>IF(AND(L182&lt;&gt;"Clôturée",F182&lt;&gt;""),TODAY()-F182,"")</f>
        <v/>
      </c>
    </row>
    <row r="183" ht="15" customHeight="1" s="59">
      <c r="C183" s="98">
        <f>IF(B183="","",IFERROR(VLOOKUP(B183,EQUIPEMENTS!A:B,2,0),""))</f>
        <v/>
      </c>
      <c r="F183" s="91" t="n"/>
      <c r="G183" s="91" t="n"/>
      <c r="O183" s="97">
        <f>IF(AND(L183&lt;&gt;"Clôturée",F183&lt;&gt;""),TODAY()-F183,"")</f>
        <v/>
      </c>
    </row>
    <row r="184" ht="15" customHeight="1" s="59">
      <c r="C184" s="98">
        <f>IF(B184="","",IFERROR(VLOOKUP(B184,EQUIPEMENTS!A:B,2,0),""))</f>
        <v/>
      </c>
      <c r="F184" s="91" t="n"/>
      <c r="G184" s="91" t="n"/>
      <c r="O184" s="97">
        <f>IF(AND(L184&lt;&gt;"Clôturée",F184&lt;&gt;""),TODAY()-F184,"")</f>
        <v/>
      </c>
    </row>
    <row r="185" ht="15" customHeight="1" s="59">
      <c r="C185" s="98">
        <f>IF(B185="","",IFERROR(VLOOKUP(B185,EQUIPEMENTS!A:B,2,0),""))</f>
        <v/>
      </c>
      <c r="F185" s="91" t="n"/>
      <c r="G185" s="91" t="n"/>
      <c r="O185" s="97">
        <f>IF(AND(L185&lt;&gt;"Clôturée",F185&lt;&gt;""),TODAY()-F185,"")</f>
        <v/>
      </c>
    </row>
    <row r="186" ht="15" customHeight="1" s="59">
      <c r="C186" s="98">
        <f>IF(B186="","",IFERROR(VLOOKUP(B186,EQUIPEMENTS!A:B,2,0),""))</f>
        <v/>
      </c>
      <c r="F186" s="91" t="n"/>
      <c r="G186" s="91" t="n"/>
      <c r="O186" s="97">
        <f>IF(AND(L186&lt;&gt;"Clôturée",F186&lt;&gt;""),TODAY()-F186,"")</f>
        <v/>
      </c>
    </row>
    <row r="187" ht="15" customHeight="1" s="59">
      <c r="C187" s="98">
        <f>IF(B187="","",IFERROR(VLOOKUP(B187,EQUIPEMENTS!A:B,2,0),""))</f>
        <v/>
      </c>
      <c r="F187" s="91" t="n"/>
      <c r="G187" s="91" t="n"/>
      <c r="O187" s="97">
        <f>IF(AND(L187&lt;&gt;"Clôturée",F187&lt;&gt;""),TODAY()-F187,"")</f>
        <v/>
      </c>
    </row>
    <row r="188" ht="15" customHeight="1" s="59">
      <c r="C188" s="98">
        <f>IF(B188="","",IFERROR(VLOOKUP(B188,EQUIPEMENTS!A:B,2,0),""))</f>
        <v/>
      </c>
      <c r="F188" s="91" t="n"/>
      <c r="G188" s="91" t="n"/>
      <c r="O188" s="97">
        <f>IF(AND(L188&lt;&gt;"Clôturée",F188&lt;&gt;""),TODAY()-F188,"")</f>
        <v/>
      </c>
    </row>
    <row r="189" ht="15" customHeight="1" s="59">
      <c r="C189" s="98">
        <f>IF(B189="","",IFERROR(VLOOKUP(B189,EQUIPEMENTS!A:B,2,0),""))</f>
        <v/>
      </c>
      <c r="F189" s="91" t="n"/>
      <c r="G189" s="91" t="n"/>
      <c r="O189" s="97">
        <f>IF(AND(L189&lt;&gt;"Clôturée",F189&lt;&gt;""),TODAY()-F189,"")</f>
        <v/>
      </c>
    </row>
    <row r="190" ht="15" customHeight="1" s="59">
      <c r="C190" s="98">
        <f>IF(B190="","",IFERROR(VLOOKUP(B190,EQUIPEMENTS!A:B,2,0),""))</f>
        <v/>
      </c>
      <c r="F190" s="91" t="n"/>
      <c r="G190" s="91" t="n"/>
      <c r="O190" s="97">
        <f>IF(AND(L190&lt;&gt;"Clôturée",F190&lt;&gt;""),TODAY()-F190,"")</f>
        <v/>
      </c>
    </row>
    <row r="191" ht="15" customHeight="1" s="59">
      <c r="C191" s="98">
        <f>IF(B191="","",IFERROR(VLOOKUP(B191,EQUIPEMENTS!A:B,2,0),""))</f>
        <v/>
      </c>
      <c r="F191" s="91" t="n"/>
      <c r="G191" s="91" t="n"/>
      <c r="O191" s="97">
        <f>IF(AND(L191&lt;&gt;"Clôturée",F191&lt;&gt;""),TODAY()-F191,"")</f>
        <v/>
      </c>
    </row>
    <row r="192" ht="15" customHeight="1" s="59">
      <c r="C192" s="98">
        <f>IF(B192="","",IFERROR(VLOOKUP(B192,EQUIPEMENTS!A:B,2,0),""))</f>
        <v/>
      </c>
      <c r="F192" s="91" t="n"/>
      <c r="G192" s="91" t="n"/>
      <c r="O192" s="97">
        <f>IF(AND(L192&lt;&gt;"Clôturée",F192&lt;&gt;""),TODAY()-F192,"")</f>
        <v/>
      </c>
    </row>
    <row r="193" ht="15" customHeight="1" s="59">
      <c r="C193" s="98">
        <f>IF(B193="","",IFERROR(VLOOKUP(B193,EQUIPEMENTS!A:B,2,0),""))</f>
        <v/>
      </c>
      <c r="F193" s="91" t="n"/>
      <c r="G193" s="91" t="n"/>
      <c r="O193" s="97">
        <f>IF(AND(L193&lt;&gt;"Clôturée",F193&lt;&gt;""),TODAY()-F193,"")</f>
        <v/>
      </c>
    </row>
    <row r="194" ht="15" customHeight="1" s="59">
      <c r="C194" s="98">
        <f>IF(B194="","",IFERROR(VLOOKUP(B194,EQUIPEMENTS!A:B,2,0),""))</f>
        <v/>
      </c>
      <c r="F194" s="91" t="n"/>
      <c r="G194" s="91" t="n"/>
      <c r="O194" s="97">
        <f>IF(AND(L194&lt;&gt;"Clôturée",F194&lt;&gt;""),TODAY()-F194,"")</f>
        <v/>
      </c>
    </row>
    <row r="195" ht="15" customHeight="1" s="59">
      <c r="C195" s="98">
        <f>IF(B195="","",IFERROR(VLOOKUP(B195,EQUIPEMENTS!A:B,2,0),""))</f>
        <v/>
      </c>
      <c r="F195" s="91" t="n"/>
      <c r="G195" s="91" t="n"/>
      <c r="O195" s="97">
        <f>IF(AND(L195&lt;&gt;"Clôturée",F195&lt;&gt;""),TODAY()-F195,"")</f>
        <v/>
      </c>
    </row>
    <row r="196" ht="15" customHeight="1" s="59">
      <c r="C196" s="98">
        <f>IF(B196="","",IFERROR(VLOOKUP(B196,EQUIPEMENTS!A:B,2,0),""))</f>
        <v/>
      </c>
      <c r="F196" s="91" t="n"/>
      <c r="G196" s="91" t="n"/>
      <c r="O196" s="97">
        <f>IF(AND(L196&lt;&gt;"Clôturée",F196&lt;&gt;""),TODAY()-F196,"")</f>
        <v/>
      </c>
    </row>
    <row r="197" ht="15" customHeight="1" s="59">
      <c r="C197" s="98">
        <f>IF(B197="","",IFERROR(VLOOKUP(B197,EQUIPEMENTS!A:B,2,0),""))</f>
        <v/>
      </c>
      <c r="F197" s="91" t="n"/>
      <c r="G197" s="91" t="n"/>
      <c r="O197" s="97">
        <f>IF(AND(L197&lt;&gt;"Clôturée",F197&lt;&gt;""),TODAY()-F197,"")</f>
        <v/>
      </c>
    </row>
    <row r="198" ht="15" customHeight="1" s="59">
      <c r="C198" s="98">
        <f>IF(B198="","",IFERROR(VLOOKUP(B198,EQUIPEMENTS!A:B,2,0),""))</f>
        <v/>
      </c>
      <c r="F198" s="91" t="n"/>
      <c r="G198" s="91" t="n"/>
      <c r="O198" s="97">
        <f>IF(AND(L198&lt;&gt;"Clôturée",F198&lt;&gt;""),TODAY()-F198,"")</f>
        <v/>
      </c>
    </row>
    <row r="199" ht="15" customHeight="1" s="59">
      <c r="C199" s="98">
        <f>IF(B199="","",IFERROR(VLOOKUP(B199,EQUIPEMENTS!A:B,2,0),""))</f>
        <v/>
      </c>
      <c r="F199" s="91" t="n"/>
      <c r="G199" s="91" t="n"/>
      <c r="O199" s="97">
        <f>IF(AND(L199&lt;&gt;"Clôturée",F199&lt;&gt;""),TODAY()-F199,"")</f>
        <v/>
      </c>
    </row>
    <row r="200" ht="15" customHeight="1" s="59">
      <c r="C200" s="98">
        <f>IF(B200="","",IFERROR(VLOOKUP(B200,EQUIPEMENTS!A:B,2,0),""))</f>
        <v/>
      </c>
      <c r="F200" s="91" t="n"/>
      <c r="G200" s="91" t="n"/>
      <c r="O200" s="97">
        <f>IF(AND(L200&lt;&gt;"Clôturée",F200&lt;&gt;""),TODAY()-F200,"")</f>
        <v/>
      </c>
    </row>
    <row r="201" ht="15" customHeight="1" s="59">
      <c r="C201" s="98">
        <f>IF(B201="","",IFERROR(VLOOKUP(B201,EQUIPEMENTS!A:B,2,0),""))</f>
        <v/>
      </c>
      <c r="F201" s="91" t="n"/>
      <c r="G201" s="91" t="n"/>
      <c r="O201" s="97">
        <f>IF(AND(L201&lt;&gt;"Clôturée",F201&lt;&gt;""),TODAY()-F201,"")</f>
        <v/>
      </c>
    </row>
    <row r="202" ht="15" customHeight="1" s="59">
      <c r="C202" s="98">
        <f>IF(B202="","",IFERROR(VLOOKUP(B202,EQUIPEMENTS!A:B,2,0),""))</f>
        <v/>
      </c>
      <c r="F202" s="91" t="n"/>
      <c r="G202" s="91" t="n"/>
      <c r="O202" s="97">
        <f>IF(AND(L202&lt;&gt;"Clôturée",F202&lt;&gt;""),TODAY()-F202,"")</f>
        <v/>
      </c>
    </row>
    <row r="203" ht="15" customHeight="1" s="59">
      <c r="C203" s="98">
        <f>IF(B203="","",IFERROR(VLOOKUP(B203,EQUIPEMENTS!A:B,2,0),""))</f>
        <v/>
      </c>
      <c r="F203" s="91" t="n"/>
      <c r="G203" s="91" t="n"/>
      <c r="O203" s="97">
        <f>IF(AND(L203&lt;&gt;"Clôturée",F203&lt;&gt;""),TODAY()-F203,"")</f>
        <v/>
      </c>
    </row>
    <row r="204" ht="15" customHeight="1" s="59">
      <c r="C204" s="98">
        <f>IF(B204="","",IFERROR(VLOOKUP(B204,EQUIPEMENTS!A:B,2,0),""))</f>
        <v/>
      </c>
      <c r="F204" s="91" t="n"/>
      <c r="G204" s="91" t="n"/>
      <c r="O204" s="97">
        <f>IF(AND(L204&lt;&gt;"Clôturée",F204&lt;&gt;""),TODAY()-F204,"")</f>
        <v/>
      </c>
    </row>
    <row r="205" ht="15" customHeight="1" s="59">
      <c r="C205" s="98">
        <f>IF(B205="","",IFERROR(VLOOKUP(B205,EQUIPEMENTS!A:B,2,0),""))</f>
        <v/>
      </c>
      <c r="F205" s="91" t="n"/>
      <c r="G205" s="91" t="n"/>
      <c r="O205" s="97">
        <f>IF(AND(L205&lt;&gt;"Clôturée",F205&lt;&gt;""),TODAY()-F205,"")</f>
        <v/>
      </c>
    </row>
    <row r="206" ht="15" customHeight="1" s="59">
      <c r="C206" s="98">
        <f>IF(B206="","",IFERROR(VLOOKUP(B206,EQUIPEMENTS!A:B,2,0),""))</f>
        <v/>
      </c>
      <c r="F206" s="91" t="n"/>
      <c r="G206" s="91" t="n"/>
      <c r="O206" s="97">
        <f>IF(AND(L206&lt;&gt;"Clôturée",F206&lt;&gt;""),TODAY()-F206,"")</f>
        <v/>
      </c>
    </row>
    <row r="207" ht="15" customHeight="1" s="59">
      <c r="C207" s="98">
        <f>IF(B207="","",IFERROR(VLOOKUP(B207,EQUIPEMENTS!A:B,2,0),""))</f>
        <v/>
      </c>
      <c r="F207" s="91" t="n"/>
      <c r="G207" s="91" t="n"/>
      <c r="O207" s="97">
        <f>IF(AND(L207&lt;&gt;"Clôturée",F207&lt;&gt;""),TODAY()-F207,"")</f>
        <v/>
      </c>
    </row>
    <row r="208" ht="15" customHeight="1" s="59">
      <c r="C208" s="98">
        <f>IF(B208="","",IFERROR(VLOOKUP(B208,EQUIPEMENTS!A:B,2,0),""))</f>
        <v/>
      </c>
      <c r="F208" s="91" t="n"/>
      <c r="G208" s="91" t="n"/>
      <c r="O208" s="97">
        <f>IF(AND(L208&lt;&gt;"Clôturée",F208&lt;&gt;""),TODAY()-F208,"")</f>
        <v/>
      </c>
    </row>
    <row r="209" ht="15" customHeight="1" s="59">
      <c r="C209" s="98">
        <f>IF(B209="","",IFERROR(VLOOKUP(B209,EQUIPEMENTS!A:B,2,0),""))</f>
        <v/>
      </c>
      <c r="F209" s="91" t="n"/>
      <c r="G209" s="91" t="n"/>
      <c r="O209" s="97">
        <f>IF(AND(L209&lt;&gt;"Clôturée",F209&lt;&gt;""),TODAY()-F209,"")</f>
        <v/>
      </c>
    </row>
    <row r="210" ht="15" customHeight="1" s="59">
      <c r="C210" s="98">
        <f>IF(B210="","",IFERROR(VLOOKUP(B210,EQUIPEMENTS!A:B,2,0),""))</f>
        <v/>
      </c>
      <c r="F210" s="91" t="n"/>
      <c r="G210" s="91" t="n"/>
      <c r="O210" s="97">
        <f>IF(AND(L210&lt;&gt;"Clôturée",F210&lt;&gt;""),TODAY()-F210,"")</f>
        <v/>
      </c>
    </row>
    <row r="211" ht="15" customHeight="1" s="59">
      <c r="C211" s="98">
        <f>IF(B211="","",IFERROR(VLOOKUP(B211,EQUIPEMENTS!A:B,2,0),""))</f>
        <v/>
      </c>
      <c r="F211" s="91" t="n"/>
      <c r="G211" s="91" t="n"/>
      <c r="O211" s="97">
        <f>IF(AND(L211&lt;&gt;"Clôturée",F211&lt;&gt;""),TODAY()-F211,"")</f>
        <v/>
      </c>
    </row>
    <row r="212" ht="15" customHeight="1" s="59">
      <c r="C212" s="98">
        <f>IF(B212="","",IFERROR(VLOOKUP(B212,EQUIPEMENTS!A:B,2,0),""))</f>
        <v/>
      </c>
      <c r="F212" s="91" t="n"/>
      <c r="G212" s="91" t="n"/>
      <c r="O212" s="97">
        <f>IF(AND(L212&lt;&gt;"Clôturée",F212&lt;&gt;""),TODAY()-F212,"")</f>
        <v/>
      </c>
    </row>
    <row r="213" ht="15" customHeight="1" s="59">
      <c r="C213" s="98">
        <f>IF(B213="","",IFERROR(VLOOKUP(B213,EQUIPEMENTS!A:B,2,0),""))</f>
        <v/>
      </c>
      <c r="F213" s="91" t="n"/>
      <c r="G213" s="91" t="n"/>
      <c r="O213" s="97">
        <f>IF(AND(L213&lt;&gt;"Clôturée",F213&lt;&gt;""),TODAY()-F213,"")</f>
        <v/>
      </c>
    </row>
    <row r="214" ht="15" customHeight="1" s="59">
      <c r="C214" s="98">
        <f>IF(B214="","",IFERROR(VLOOKUP(B214,EQUIPEMENTS!A:B,2,0),""))</f>
        <v/>
      </c>
      <c r="F214" s="91" t="n"/>
      <c r="G214" s="91" t="n"/>
      <c r="O214" s="97">
        <f>IF(AND(L214&lt;&gt;"Clôturée",F214&lt;&gt;""),TODAY()-F214,"")</f>
        <v/>
      </c>
    </row>
    <row r="215" ht="15" customHeight="1" s="59">
      <c r="C215" s="98">
        <f>IF(B215="","",IFERROR(VLOOKUP(B215,EQUIPEMENTS!A:B,2,0),""))</f>
        <v/>
      </c>
      <c r="F215" s="91" t="n"/>
      <c r="G215" s="91" t="n"/>
      <c r="O215" s="97">
        <f>IF(AND(L215&lt;&gt;"Clôturée",F215&lt;&gt;""),TODAY()-F215,"")</f>
        <v/>
      </c>
    </row>
    <row r="216" ht="15" customHeight="1" s="59">
      <c r="C216" s="98">
        <f>IF(B216="","",IFERROR(VLOOKUP(B216,EQUIPEMENTS!A:B,2,0),""))</f>
        <v/>
      </c>
      <c r="F216" s="91" t="n"/>
      <c r="G216" s="91" t="n"/>
      <c r="O216" s="97">
        <f>IF(AND(L216&lt;&gt;"Clôturée",F216&lt;&gt;""),TODAY()-F216,"")</f>
        <v/>
      </c>
    </row>
    <row r="217" ht="15" customHeight="1" s="59">
      <c r="C217" s="98">
        <f>IF(B217="","",IFERROR(VLOOKUP(B217,EQUIPEMENTS!A:B,2,0),""))</f>
        <v/>
      </c>
      <c r="F217" s="91" t="n"/>
      <c r="G217" s="91" t="n"/>
      <c r="O217" s="97">
        <f>IF(AND(L217&lt;&gt;"Clôturée",F217&lt;&gt;""),TODAY()-F217,"")</f>
        <v/>
      </c>
    </row>
    <row r="218" ht="15" customHeight="1" s="59">
      <c r="C218" s="98">
        <f>IF(B218="","",IFERROR(VLOOKUP(B218,EQUIPEMENTS!A:B,2,0),""))</f>
        <v/>
      </c>
      <c r="F218" s="91" t="n"/>
      <c r="G218" s="91" t="n"/>
      <c r="O218" s="97">
        <f>IF(AND(L218&lt;&gt;"Clôturée",F218&lt;&gt;""),TODAY()-F218,"")</f>
        <v/>
      </c>
    </row>
    <row r="219" ht="15" customHeight="1" s="59">
      <c r="C219" s="98">
        <f>IF(B219="","",IFERROR(VLOOKUP(B219,EQUIPEMENTS!A:B,2,0),""))</f>
        <v/>
      </c>
      <c r="F219" s="91" t="n"/>
      <c r="G219" s="91" t="n"/>
      <c r="O219" s="97">
        <f>IF(AND(L219&lt;&gt;"Clôturée",F219&lt;&gt;""),TODAY()-F219,"")</f>
        <v/>
      </c>
    </row>
    <row r="220" ht="15" customHeight="1" s="59">
      <c r="C220" s="98">
        <f>IF(B220="","",IFERROR(VLOOKUP(B220,EQUIPEMENTS!A:B,2,0),""))</f>
        <v/>
      </c>
      <c r="F220" s="91" t="n"/>
      <c r="G220" s="91" t="n"/>
      <c r="O220" s="97">
        <f>IF(AND(L220&lt;&gt;"Clôturée",F220&lt;&gt;""),TODAY()-F220,"")</f>
        <v/>
      </c>
    </row>
    <row r="221" ht="15" customHeight="1" s="59">
      <c r="C221" s="98">
        <f>IF(B221="","",IFERROR(VLOOKUP(B221,EQUIPEMENTS!A:B,2,0),""))</f>
        <v/>
      </c>
      <c r="F221" s="91" t="n"/>
      <c r="G221" s="91" t="n"/>
      <c r="O221" s="97">
        <f>IF(AND(L221&lt;&gt;"Clôturée",F221&lt;&gt;""),TODAY()-F221,"")</f>
        <v/>
      </c>
    </row>
    <row r="222" ht="15" customHeight="1" s="59">
      <c r="C222" s="98">
        <f>IF(B222="","",IFERROR(VLOOKUP(B222,EQUIPEMENTS!A:B,2,0),""))</f>
        <v/>
      </c>
      <c r="F222" s="91" t="n"/>
      <c r="G222" s="91" t="n"/>
      <c r="O222" s="97">
        <f>IF(AND(L222&lt;&gt;"Clôturée",F222&lt;&gt;""),TODAY()-F222,"")</f>
        <v/>
      </c>
    </row>
    <row r="223" ht="15" customHeight="1" s="59">
      <c r="C223" s="98">
        <f>IF(B223="","",IFERROR(VLOOKUP(B223,EQUIPEMENTS!A:B,2,0),""))</f>
        <v/>
      </c>
      <c r="F223" s="91" t="n"/>
      <c r="G223" s="91" t="n"/>
      <c r="O223" s="97">
        <f>IF(AND(L223&lt;&gt;"Clôturée",F223&lt;&gt;""),TODAY()-F223,"")</f>
        <v/>
      </c>
    </row>
    <row r="224" ht="15" customHeight="1" s="59">
      <c r="C224" s="98">
        <f>IF(B224="","",IFERROR(VLOOKUP(B224,EQUIPEMENTS!A:B,2,0),""))</f>
        <v/>
      </c>
      <c r="F224" s="91" t="n"/>
      <c r="G224" s="91" t="n"/>
      <c r="O224" s="97">
        <f>IF(AND(L224&lt;&gt;"Clôturée",F224&lt;&gt;""),TODAY()-F224,"")</f>
        <v/>
      </c>
    </row>
    <row r="225" ht="15" customHeight="1" s="59">
      <c r="C225" s="98">
        <f>IF(B225="","",IFERROR(VLOOKUP(B225,EQUIPEMENTS!A:B,2,0),""))</f>
        <v/>
      </c>
      <c r="F225" s="91" t="n"/>
      <c r="G225" s="91" t="n"/>
      <c r="O225" s="97">
        <f>IF(AND(L225&lt;&gt;"Clôturée",F225&lt;&gt;""),TODAY()-F225,"")</f>
        <v/>
      </c>
    </row>
    <row r="226" ht="15" customHeight="1" s="59">
      <c r="C226" s="98">
        <f>IF(B226="","",IFERROR(VLOOKUP(B226,EQUIPEMENTS!A:B,2,0),""))</f>
        <v/>
      </c>
      <c r="F226" s="91" t="n"/>
      <c r="G226" s="91" t="n"/>
      <c r="O226" s="97">
        <f>IF(AND(L226&lt;&gt;"Clôturée",F226&lt;&gt;""),TODAY()-F226,"")</f>
        <v/>
      </c>
    </row>
    <row r="227" ht="15" customHeight="1" s="59">
      <c r="C227" s="98">
        <f>IF(B227="","",IFERROR(VLOOKUP(B227,EQUIPEMENTS!A:B,2,0),""))</f>
        <v/>
      </c>
      <c r="F227" s="91" t="n"/>
      <c r="G227" s="91" t="n"/>
      <c r="O227" s="97">
        <f>IF(AND(L227&lt;&gt;"Clôturée",F227&lt;&gt;""),TODAY()-F227,"")</f>
        <v/>
      </c>
    </row>
    <row r="228" ht="15" customHeight="1" s="59">
      <c r="C228" s="98">
        <f>IF(B228="","",IFERROR(VLOOKUP(B228,EQUIPEMENTS!A:B,2,0),""))</f>
        <v/>
      </c>
      <c r="F228" s="91" t="n"/>
      <c r="G228" s="91" t="n"/>
      <c r="O228" s="97">
        <f>IF(AND(L228&lt;&gt;"Clôturée",F228&lt;&gt;""),TODAY()-F228,"")</f>
        <v/>
      </c>
    </row>
    <row r="229" ht="15" customHeight="1" s="59">
      <c r="C229" s="98">
        <f>IF(B229="","",IFERROR(VLOOKUP(B229,EQUIPEMENTS!A:B,2,0),""))</f>
        <v/>
      </c>
      <c r="F229" s="91" t="n"/>
      <c r="G229" s="91" t="n"/>
      <c r="O229" s="97">
        <f>IF(AND(L229&lt;&gt;"Clôturée",F229&lt;&gt;""),TODAY()-F229,"")</f>
        <v/>
      </c>
    </row>
    <row r="230" ht="15" customHeight="1" s="59">
      <c r="C230" s="98">
        <f>IF(B230="","",IFERROR(VLOOKUP(B230,EQUIPEMENTS!A:B,2,0),""))</f>
        <v/>
      </c>
      <c r="F230" s="91" t="n"/>
      <c r="G230" s="91" t="n"/>
      <c r="O230" s="97">
        <f>IF(AND(L230&lt;&gt;"Clôturée",F230&lt;&gt;""),TODAY()-F230,"")</f>
        <v/>
      </c>
    </row>
    <row r="231" ht="15" customHeight="1" s="59">
      <c r="C231" s="98">
        <f>IF(B231="","",IFERROR(VLOOKUP(B231,EQUIPEMENTS!A:B,2,0),""))</f>
        <v/>
      </c>
      <c r="F231" s="91" t="n"/>
      <c r="G231" s="91" t="n"/>
      <c r="O231" s="97">
        <f>IF(AND(L231&lt;&gt;"Clôturée",F231&lt;&gt;""),TODAY()-F231,"")</f>
        <v/>
      </c>
    </row>
    <row r="232" ht="15" customHeight="1" s="59">
      <c r="C232" s="98">
        <f>IF(B232="","",IFERROR(VLOOKUP(B232,EQUIPEMENTS!A:B,2,0),""))</f>
        <v/>
      </c>
      <c r="F232" s="91" t="n"/>
      <c r="G232" s="91" t="n"/>
      <c r="O232" s="97">
        <f>IF(AND(L232&lt;&gt;"Clôturée",F232&lt;&gt;""),TODAY()-F232,"")</f>
        <v/>
      </c>
    </row>
    <row r="233" ht="15" customHeight="1" s="59">
      <c r="C233" s="98">
        <f>IF(B233="","",IFERROR(VLOOKUP(B233,EQUIPEMENTS!A:B,2,0),""))</f>
        <v/>
      </c>
      <c r="F233" s="91" t="n"/>
      <c r="G233" s="91" t="n"/>
      <c r="O233" s="97">
        <f>IF(AND(L233&lt;&gt;"Clôturée",F233&lt;&gt;""),TODAY()-F233,"")</f>
        <v/>
      </c>
    </row>
    <row r="234" ht="15" customHeight="1" s="59">
      <c r="C234" s="98">
        <f>IF(B234="","",IFERROR(VLOOKUP(B234,EQUIPEMENTS!A:B,2,0),""))</f>
        <v/>
      </c>
      <c r="F234" s="91" t="n"/>
      <c r="G234" s="91" t="n"/>
      <c r="O234" s="97">
        <f>IF(AND(L234&lt;&gt;"Clôturée",F234&lt;&gt;""),TODAY()-F234,"")</f>
        <v/>
      </c>
    </row>
    <row r="235" ht="15" customHeight="1" s="59">
      <c r="C235" s="98">
        <f>IF(B235="","",IFERROR(VLOOKUP(B235,EQUIPEMENTS!A:B,2,0),""))</f>
        <v/>
      </c>
      <c r="F235" s="91" t="n"/>
      <c r="G235" s="91" t="n"/>
      <c r="O235" s="97">
        <f>IF(AND(L235&lt;&gt;"Clôturée",F235&lt;&gt;""),TODAY()-F235,"")</f>
        <v/>
      </c>
    </row>
    <row r="236" ht="15" customHeight="1" s="59">
      <c r="C236" s="98">
        <f>IF(B236="","",IFERROR(VLOOKUP(B236,EQUIPEMENTS!A:B,2,0),""))</f>
        <v/>
      </c>
      <c r="F236" s="91" t="n"/>
      <c r="G236" s="91" t="n"/>
      <c r="O236" s="97">
        <f>IF(AND(L236&lt;&gt;"Clôturée",F236&lt;&gt;""),TODAY()-F236,"")</f>
        <v/>
      </c>
    </row>
    <row r="237" ht="15" customHeight="1" s="59">
      <c r="C237" s="98">
        <f>IF(B237="","",IFERROR(VLOOKUP(B237,EQUIPEMENTS!A:B,2,0),""))</f>
        <v/>
      </c>
      <c r="F237" s="91" t="n"/>
      <c r="G237" s="91" t="n"/>
      <c r="O237" s="97">
        <f>IF(AND(L237&lt;&gt;"Clôturée",F237&lt;&gt;""),TODAY()-F237,"")</f>
        <v/>
      </c>
    </row>
    <row r="238" ht="15" customHeight="1" s="59">
      <c r="C238" s="98">
        <f>IF(B238="","",IFERROR(VLOOKUP(B238,EQUIPEMENTS!A:B,2,0),""))</f>
        <v/>
      </c>
      <c r="F238" s="91" t="n"/>
      <c r="G238" s="91" t="n"/>
      <c r="O238" s="97">
        <f>IF(AND(L238&lt;&gt;"Clôturée",F238&lt;&gt;""),TODAY()-F238,"")</f>
        <v/>
      </c>
    </row>
    <row r="239" ht="15" customHeight="1" s="59">
      <c r="C239" s="98">
        <f>IF(B239="","",IFERROR(VLOOKUP(B239,EQUIPEMENTS!A:B,2,0),""))</f>
        <v/>
      </c>
      <c r="F239" s="91" t="n"/>
      <c r="G239" s="91" t="n"/>
      <c r="O239" s="97">
        <f>IF(AND(L239&lt;&gt;"Clôturée",F239&lt;&gt;""),TODAY()-F239,"")</f>
        <v/>
      </c>
    </row>
    <row r="240" ht="15" customHeight="1" s="59">
      <c r="C240" s="98">
        <f>IF(B240="","",IFERROR(VLOOKUP(B240,EQUIPEMENTS!A:B,2,0),""))</f>
        <v/>
      </c>
      <c r="F240" s="91" t="n"/>
      <c r="G240" s="91" t="n"/>
      <c r="O240" s="97">
        <f>IF(AND(L240&lt;&gt;"Clôturée",F240&lt;&gt;""),TODAY()-F240,"")</f>
        <v/>
      </c>
    </row>
    <row r="241" ht="15" customHeight="1" s="59">
      <c r="C241" s="98">
        <f>IF(B241="","",IFERROR(VLOOKUP(B241,EQUIPEMENTS!A:B,2,0),""))</f>
        <v/>
      </c>
      <c r="F241" s="91" t="n"/>
      <c r="G241" s="91" t="n"/>
      <c r="O241" s="97">
        <f>IF(AND(L241&lt;&gt;"Clôturée",F241&lt;&gt;""),TODAY()-F241,"")</f>
        <v/>
      </c>
    </row>
    <row r="242" ht="15" customHeight="1" s="59">
      <c r="C242" s="98">
        <f>IF(B242="","",IFERROR(VLOOKUP(B242,EQUIPEMENTS!A:B,2,0),""))</f>
        <v/>
      </c>
      <c r="F242" s="91" t="n"/>
      <c r="G242" s="91" t="n"/>
      <c r="O242" s="97">
        <f>IF(AND(L242&lt;&gt;"Clôturée",F242&lt;&gt;""),TODAY()-F242,"")</f>
        <v/>
      </c>
    </row>
    <row r="243" ht="15" customHeight="1" s="59">
      <c r="C243" s="98">
        <f>IF(B243="","",IFERROR(VLOOKUP(B243,EQUIPEMENTS!A:B,2,0),""))</f>
        <v/>
      </c>
      <c r="F243" s="91" t="n"/>
      <c r="G243" s="91" t="n"/>
      <c r="O243" s="97">
        <f>IF(AND(L243&lt;&gt;"Clôturée",F243&lt;&gt;""),TODAY()-F243,"")</f>
        <v/>
      </c>
    </row>
    <row r="244" ht="15" customHeight="1" s="59">
      <c r="C244" s="98">
        <f>IF(B244="","",IFERROR(VLOOKUP(B244,EQUIPEMENTS!A:B,2,0),""))</f>
        <v/>
      </c>
      <c r="F244" s="91" t="n"/>
      <c r="G244" s="91" t="n"/>
      <c r="O244" s="97">
        <f>IF(AND(L244&lt;&gt;"Clôturée",F244&lt;&gt;""),TODAY()-F244,"")</f>
        <v/>
      </c>
    </row>
    <row r="245" ht="15" customHeight="1" s="59">
      <c r="C245" s="98">
        <f>IF(B245="","",IFERROR(VLOOKUP(B245,EQUIPEMENTS!A:B,2,0),""))</f>
        <v/>
      </c>
      <c r="F245" s="91" t="n"/>
      <c r="G245" s="91" t="n"/>
      <c r="O245" s="97">
        <f>IF(AND(L245&lt;&gt;"Clôturée",F245&lt;&gt;""),TODAY()-F245,"")</f>
        <v/>
      </c>
    </row>
    <row r="246" ht="15" customHeight="1" s="59">
      <c r="C246" s="98">
        <f>IF(B246="","",IFERROR(VLOOKUP(B246,EQUIPEMENTS!A:B,2,0),""))</f>
        <v/>
      </c>
      <c r="F246" s="91" t="n"/>
      <c r="G246" s="91" t="n"/>
      <c r="O246" s="97">
        <f>IF(AND(L246&lt;&gt;"Clôturée",F246&lt;&gt;""),TODAY()-F246,"")</f>
        <v/>
      </c>
    </row>
    <row r="247" ht="15" customHeight="1" s="59">
      <c r="C247" s="98">
        <f>IF(B247="","",IFERROR(VLOOKUP(B247,EQUIPEMENTS!A:B,2,0),""))</f>
        <v/>
      </c>
      <c r="F247" s="91" t="n"/>
      <c r="G247" s="91" t="n"/>
      <c r="O247" s="97">
        <f>IF(AND(L247&lt;&gt;"Clôturée",F247&lt;&gt;""),TODAY()-F247,"")</f>
        <v/>
      </c>
    </row>
    <row r="248" ht="15" customHeight="1" s="59">
      <c r="C248" s="98">
        <f>IF(B248="","",IFERROR(VLOOKUP(B248,EQUIPEMENTS!A:B,2,0),""))</f>
        <v/>
      </c>
      <c r="F248" s="91" t="n"/>
      <c r="G248" s="91" t="n"/>
      <c r="O248" s="97">
        <f>IF(AND(L248&lt;&gt;"Clôturée",F248&lt;&gt;""),TODAY()-F248,"")</f>
        <v/>
      </c>
    </row>
    <row r="249" ht="15" customHeight="1" s="59">
      <c r="C249" s="98">
        <f>IF(B249="","",IFERROR(VLOOKUP(B249,EQUIPEMENTS!A:B,2,0),""))</f>
        <v/>
      </c>
      <c r="F249" s="91" t="n"/>
      <c r="G249" s="91" t="n"/>
      <c r="O249" s="97">
        <f>IF(AND(L249&lt;&gt;"Clôturée",F249&lt;&gt;""),TODAY()-F249,"")</f>
        <v/>
      </c>
    </row>
    <row r="250" ht="15" customHeight="1" s="59">
      <c r="C250" s="98">
        <f>IF(B250="","",IFERROR(VLOOKUP(B250,EQUIPEMENTS!A:B,2,0),""))</f>
        <v/>
      </c>
      <c r="F250" s="91" t="n"/>
      <c r="G250" s="91" t="n"/>
      <c r="O250" s="97">
        <f>IF(AND(L250&lt;&gt;"Clôturée",F250&lt;&gt;""),TODAY()-F250,"")</f>
        <v/>
      </c>
    </row>
    <row r="251" ht="15" customHeight="1" s="59">
      <c r="C251" s="98">
        <f>IF(B251="","",IFERROR(VLOOKUP(B251,EQUIPEMENTS!A:B,2,0),""))</f>
        <v/>
      </c>
      <c r="F251" s="91" t="n"/>
      <c r="G251" s="91" t="n"/>
      <c r="O251" s="97">
        <f>IF(AND(L251&lt;&gt;"Clôturée",F251&lt;&gt;""),TODAY()-F251,"")</f>
        <v/>
      </c>
    </row>
    <row r="252" ht="15" customHeight="1" s="59">
      <c r="C252" s="98">
        <f>IF(B252="","",IFERROR(VLOOKUP(B252,EQUIPEMENTS!A:B,2,0),""))</f>
        <v/>
      </c>
      <c r="F252" s="91" t="n"/>
      <c r="G252" s="91" t="n"/>
      <c r="O252" s="97">
        <f>IF(AND(L252&lt;&gt;"Clôturée",F252&lt;&gt;""),TODAY()-F252,"")</f>
        <v/>
      </c>
    </row>
    <row r="253" ht="15" customHeight="1" s="59">
      <c r="C253" s="98">
        <f>IF(B253="","",IFERROR(VLOOKUP(B253,EQUIPEMENTS!A:B,2,0),""))</f>
        <v/>
      </c>
      <c r="F253" s="91" t="n"/>
      <c r="G253" s="91" t="n"/>
      <c r="O253" s="97">
        <f>IF(AND(L253&lt;&gt;"Clôturée",F253&lt;&gt;""),TODAY()-F253,"")</f>
        <v/>
      </c>
    </row>
    <row r="254" ht="15" customHeight="1" s="59">
      <c r="C254" s="98">
        <f>IF(B254="","",IFERROR(VLOOKUP(B254,EQUIPEMENTS!A:B,2,0),""))</f>
        <v/>
      </c>
      <c r="F254" s="91" t="n"/>
      <c r="G254" s="91" t="n"/>
      <c r="O254" s="97">
        <f>IF(AND(L254&lt;&gt;"Clôturée",F254&lt;&gt;""),TODAY()-F254,"")</f>
        <v/>
      </c>
    </row>
    <row r="255" ht="15" customHeight="1" s="59">
      <c r="C255" s="98">
        <f>IF(B255="","",IFERROR(VLOOKUP(B255,EQUIPEMENTS!A:B,2,0),""))</f>
        <v/>
      </c>
      <c r="F255" s="91" t="n"/>
      <c r="G255" s="91" t="n"/>
      <c r="O255" s="97">
        <f>IF(AND(L255&lt;&gt;"Clôturée",F255&lt;&gt;""),TODAY()-F255,"")</f>
        <v/>
      </c>
    </row>
    <row r="256" ht="15" customHeight="1" s="59">
      <c r="C256" s="98">
        <f>IF(B256="","",IFERROR(VLOOKUP(B256,EQUIPEMENTS!A:B,2,0),""))</f>
        <v/>
      </c>
      <c r="F256" s="91" t="n"/>
      <c r="G256" s="91" t="n"/>
      <c r="O256" s="97">
        <f>IF(AND(L256&lt;&gt;"Clôturée",F256&lt;&gt;""),TODAY()-F256,"")</f>
        <v/>
      </c>
    </row>
    <row r="257" ht="15" customHeight="1" s="59">
      <c r="C257" s="98">
        <f>IF(B257="","",IFERROR(VLOOKUP(B257,EQUIPEMENTS!A:B,2,0),""))</f>
        <v/>
      </c>
      <c r="F257" s="91" t="n"/>
      <c r="G257" s="91" t="n"/>
      <c r="O257" s="97">
        <f>IF(AND(L257&lt;&gt;"Clôturée",F257&lt;&gt;""),TODAY()-F257,"")</f>
        <v/>
      </c>
    </row>
    <row r="258" ht="15" customHeight="1" s="59">
      <c r="C258" s="98">
        <f>IF(B258="","",IFERROR(VLOOKUP(B258,EQUIPEMENTS!A:B,2,0),""))</f>
        <v/>
      </c>
      <c r="F258" s="91" t="n"/>
      <c r="G258" s="91" t="n"/>
      <c r="O258" s="97">
        <f>IF(AND(L258&lt;&gt;"Clôturée",F258&lt;&gt;""),TODAY()-F258,"")</f>
        <v/>
      </c>
    </row>
    <row r="259" ht="15" customHeight="1" s="59">
      <c r="C259" s="98">
        <f>IF(B259="","",IFERROR(VLOOKUP(B259,EQUIPEMENTS!A:B,2,0),""))</f>
        <v/>
      </c>
      <c r="F259" s="91" t="n"/>
      <c r="G259" s="91" t="n"/>
      <c r="O259" s="97">
        <f>IF(AND(L259&lt;&gt;"Clôturée",F259&lt;&gt;""),TODAY()-F259,"")</f>
        <v/>
      </c>
    </row>
    <row r="260" ht="15" customHeight="1" s="59">
      <c r="C260" s="98">
        <f>IF(B260="","",IFERROR(VLOOKUP(B260,EQUIPEMENTS!A:B,2,0),""))</f>
        <v/>
      </c>
      <c r="F260" s="91" t="n"/>
      <c r="G260" s="91" t="n"/>
      <c r="O260" s="97">
        <f>IF(AND(L260&lt;&gt;"Clôturée",F260&lt;&gt;""),TODAY()-F260,"")</f>
        <v/>
      </c>
    </row>
    <row r="261" ht="15" customHeight="1" s="59">
      <c r="C261" s="98">
        <f>IF(B261="","",IFERROR(VLOOKUP(B261,EQUIPEMENTS!A:B,2,0),""))</f>
        <v/>
      </c>
      <c r="F261" s="91" t="n"/>
      <c r="G261" s="91" t="n"/>
      <c r="O261" s="97">
        <f>IF(AND(L261&lt;&gt;"Clôturée",F261&lt;&gt;""),TODAY()-F261,"")</f>
        <v/>
      </c>
    </row>
    <row r="262" ht="15" customHeight="1" s="59">
      <c r="C262" s="98">
        <f>IF(B262="","",IFERROR(VLOOKUP(B262,EQUIPEMENTS!A:B,2,0),""))</f>
        <v/>
      </c>
      <c r="F262" s="91" t="n"/>
      <c r="G262" s="91" t="n"/>
      <c r="O262" s="97">
        <f>IF(AND(L262&lt;&gt;"Clôturée",F262&lt;&gt;""),TODAY()-F262,"")</f>
        <v/>
      </c>
    </row>
    <row r="263" ht="15" customHeight="1" s="59">
      <c r="C263" s="98">
        <f>IF(B263="","",IFERROR(VLOOKUP(B263,EQUIPEMENTS!A:B,2,0),""))</f>
        <v/>
      </c>
      <c r="F263" s="91" t="n"/>
      <c r="G263" s="91" t="n"/>
      <c r="O263" s="97">
        <f>IF(AND(L263&lt;&gt;"Clôturée",F263&lt;&gt;""),TODAY()-F263,"")</f>
        <v/>
      </c>
    </row>
    <row r="264" ht="15" customHeight="1" s="59">
      <c r="C264" s="98">
        <f>IF(B264="","",IFERROR(VLOOKUP(B264,EQUIPEMENTS!A:B,2,0),""))</f>
        <v/>
      </c>
      <c r="F264" s="91" t="n"/>
      <c r="G264" s="91" t="n"/>
      <c r="O264" s="97">
        <f>IF(AND(L264&lt;&gt;"Clôturée",F264&lt;&gt;""),TODAY()-F264,"")</f>
        <v/>
      </c>
    </row>
    <row r="265" ht="15" customHeight="1" s="59">
      <c r="C265" s="98">
        <f>IF(B265="","",IFERROR(VLOOKUP(B265,EQUIPEMENTS!A:B,2,0),""))</f>
        <v/>
      </c>
      <c r="F265" s="91" t="n"/>
      <c r="G265" s="91" t="n"/>
      <c r="O265" s="97">
        <f>IF(AND(L265&lt;&gt;"Clôturée",F265&lt;&gt;""),TODAY()-F265,"")</f>
        <v/>
      </c>
    </row>
    <row r="266" ht="15" customHeight="1" s="59">
      <c r="C266" s="98">
        <f>IF(B266="","",IFERROR(VLOOKUP(B266,EQUIPEMENTS!A:B,2,0),""))</f>
        <v/>
      </c>
      <c r="F266" s="91" t="n"/>
      <c r="G266" s="91" t="n"/>
      <c r="O266" s="97">
        <f>IF(AND(L266&lt;&gt;"Clôturée",F266&lt;&gt;""),TODAY()-F266,"")</f>
        <v/>
      </c>
    </row>
    <row r="267" ht="15" customHeight="1" s="59">
      <c r="C267" s="98">
        <f>IF(B267="","",IFERROR(VLOOKUP(B267,EQUIPEMENTS!A:B,2,0),""))</f>
        <v/>
      </c>
      <c r="F267" s="91" t="n"/>
      <c r="G267" s="91" t="n"/>
      <c r="O267" s="97">
        <f>IF(AND(L267&lt;&gt;"Clôturée",F267&lt;&gt;""),TODAY()-F267,"")</f>
        <v/>
      </c>
    </row>
    <row r="268" ht="15" customHeight="1" s="59">
      <c r="C268" s="98">
        <f>IF(B268="","",IFERROR(VLOOKUP(B268,EQUIPEMENTS!A:B,2,0),""))</f>
        <v/>
      </c>
      <c r="F268" s="91" t="n"/>
      <c r="G268" s="91" t="n"/>
      <c r="O268" s="97">
        <f>IF(AND(L268&lt;&gt;"Clôturée",F268&lt;&gt;""),TODAY()-F268,"")</f>
        <v/>
      </c>
    </row>
    <row r="269" ht="15" customHeight="1" s="59">
      <c r="C269" s="98">
        <f>IF(B269="","",IFERROR(VLOOKUP(B269,EQUIPEMENTS!A:B,2,0),""))</f>
        <v/>
      </c>
      <c r="F269" s="91" t="n"/>
      <c r="G269" s="91" t="n"/>
      <c r="O269" s="97">
        <f>IF(AND(L269&lt;&gt;"Clôturée",F269&lt;&gt;""),TODAY()-F269,"")</f>
        <v/>
      </c>
    </row>
    <row r="270" ht="15" customHeight="1" s="59">
      <c r="C270" s="98">
        <f>IF(B270="","",IFERROR(VLOOKUP(B270,EQUIPEMENTS!A:B,2,0),""))</f>
        <v/>
      </c>
      <c r="F270" s="91" t="n"/>
      <c r="G270" s="91" t="n"/>
      <c r="O270" s="97">
        <f>IF(AND(L270&lt;&gt;"Clôturée",F270&lt;&gt;""),TODAY()-F270,"")</f>
        <v/>
      </c>
    </row>
    <row r="271" ht="15" customHeight="1" s="59">
      <c r="C271" s="98">
        <f>IF(B271="","",IFERROR(VLOOKUP(B271,EQUIPEMENTS!A:B,2,0),""))</f>
        <v/>
      </c>
      <c r="F271" s="91" t="n"/>
      <c r="G271" s="91" t="n"/>
      <c r="O271" s="97">
        <f>IF(AND(L271&lt;&gt;"Clôturée",F271&lt;&gt;""),TODAY()-F271,"")</f>
        <v/>
      </c>
    </row>
    <row r="272" ht="15" customHeight="1" s="59">
      <c r="C272" s="98">
        <f>IF(B272="","",IFERROR(VLOOKUP(B272,EQUIPEMENTS!A:B,2,0),""))</f>
        <v/>
      </c>
      <c r="F272" s="91" t="n"/>
      <c r="G272" s="91" t="n"/>
      <c r="O272" s="97">
        <f>IF(AND(L272&lt;&gt;"Clôturée",F272&lt;&gt;""),TODAY()-F272,"")</f>
        <v/>
      </c>
    </row>
    <row r="273" ht="15" customHeight="1" s="59">
      <c r="C273" s="98">
        <f>IF(B273="","",IFERROR(VLOOKUP(B273,EQUIPEMENTS!A:B,2,0),""))</f>
        <v/>
      </c>
      <c r="F273" s="91" t="n"/>
      <c r="G273" s="91" t="n"/>
      <c r="O273" s="97">
        <f>IF(AND(L273&lt;&gt;"Clôturée",F273&lt;&gt;""),TODAY()-F273,"")</f>
        <v/>
      </c>
    </row>
    <row r="274" ht="15" customHeight="1" s="59">
      <c r="C274" s="98">
        <f>IF(B274="","",IFERROR(VLOOKUP(B274,EQUIPEMENTS!A:B,2,0),""))</f>
        <v/>
      </c>
      <c r="F274" s="91" t="n"/>
      <c r="G274" s="91" t="n"/>
      <c r="O274" s="97">
        <f>IF(AND(L274&lt;&gt;"Clôturée",F274&lt;&gt;""),TODAY()-F274,"")</f>
        <v/>
      </c>
    </row>
    <row r="275" ht="15" customHeight="1" s="59">
      <c r="C275" s="98">
        <f>IF(B275="","",IFERROR(VLOOKUP(B275,EQUIPEMENTS!A:B,2,0),""))</f>
        <v/>
      </c>
      <c r="F275" s="91" t="n"/>
      <c r="G275" s="91" t="n"/>
      <c r="O275" s="97">
        <f>IF(AND(L275&lt;&gt;"Clôturée",F275&lt;&gt;""),TODAY()-F275,"")</f>
        <v/>
      </c>
    </row>
    <row r="276" ht="15" customHeight="1" s="59">
      <c r="C276" s="98">
        <f>IF(B276="","",IFERROR(VLOOKUP(B276,EQUIPEMENTS!A:B,2,0),""))</f>
        <v/>
      </c>
      <c r="F276" s="91" t="n"/>
      <c r="G276" s="91" t="n"/>
      <c r="O276" s="97">
        <f>IF(AND(L276&lt;&gt;"Clôturée",F276&lt;&gt;""),TODAY()-F276,"")</f>
        <v/>
      </c>
    </row>
    <row r="277" ht="15" customHeight="1" s="59">
      <c r="C277" s="98">
        <f>IF(B277="","",IFERROR(VLOOKUP(B277,EQUIPEMENTS!A:B,2,0),""))</f>
        <v/>
      </c>
      <c r="F277" s="91" t="n"/>
      <c r="G277" s="91" t="n"/>
      <c r="O277" s="97">
        <f>IF(AND(L277&lt;&gt;"Clôturée",F277&lt;&gt;""),TODAY()-F277,"")</f>
        <v/>
      </c>
    </row>
    <row r="278" ht="15" customHeight="1" s="59">
      <c r="C278" s="98">
        <f>IF(B278="","",IFERROR(VLOOKUP(B278,EQUIPEMENTS!A:B,2,0),""))</f>
        <v/>
      </c>
      <c r="F278" s="91" t="n"/>
      <c r="G278" s="91" t="n"/>
      <c r="O278" s="97">
        <f>IF(AND(L278&lt;&gt;"Clôturée",F278&lt;&gt;""),TODAY()-F278,"")</f>
        <v/>
      </c>
    </row>
    <row r="279" ht="15" customHeight="1" s="59">
      <c r="C279" s="98">
        <f>IF(B279="","",IFERROR(VLOOKUP(B279,EQUIPEMENTS!A:B,2,0),""))</f>
        <v/>
      </c>
      <c r="F279" s="91" t="n"/>
      <c r="G279" s="91" t="n"/>
      <c r="O279" s="97">
        <f>IF(AND(L279&lt;&gt;"Clôturée",F279&lt;&gt;""),TODAY()-F279,"")</f>
        <v/>
      </c>
    </row>
    <row r="280" ht="15" customHeight="1" s="59">
      <c r="C280" s="98">
        <f>IF(B280="","",IFERROR(VLOOKUP(B280,EQUIPEMENTS!A:B,2,0),""))</f>
        <v/>
      </c>
      <c r="F280" s="91" t="n"/>
      <c r="G280" s="91" t="n"/>
      <c r="O280" s="97">
        <f>IF(AND(L280&lt;&gt;"Clôturée",F280&lt;&gt;""),TODAY()-F280,"")</f>
        <v/>
      </c>
    </row>
    <row r="281" ht="15" customHeight="1" s="59">
      <c r="C281" s="98">
        <f>IF(B281="","",IFERROR(VLOOKUP(B281,EQUIPEMENTS!A:B,2,0),""))</f>
        <v/>
      </c>
      <c r="F281" s="91" t="n"/>
      <c r="G281" s="91" t="n"/>
      <c r="O281" s="97">
        <f>IF(AND(L281&lt;&gt;"Clôturée",F281&lt;&gt;""),TODAY()-F281,"")</f>
        <v/>
      </c>
    </row>
    <row r="282" ht="15" customHeight="1" s="59">
      <c r="C282" s="98">
        <f>IF(B282="","",IFERROR(VLOOKUP(B282,EQUIPEMENTS!A:B,2,0),""))</f>
        <v/>
      </c>
      <c r="F282" s="91" t="n"/>
      <c r="G282" s="91" t="n"/>
      <c r="O282" s="97">
        <f>IF(AND(L282&lt;&gt;"Clôturée",F282&lt;&gt;""),TODAY()-F282,"")</f>
        <v/>
      </c>
    </row>
    <row r="283" ht="15" customHeight="1" s="59">
      <c r="C283" s="98">
        <f>IF(B283="","",IFERROR(VLOOKUP(B283,EQUIPEMENTS!A:B,2,0),""))</f>
        <v/>
      </c>
      <c r="F283" s="91" t="n"/>
      <c r="G283" s="91" t="n"/>
      <c r="O283" s="97">
        <f>IF(AND(L283&lt;&gt;"Clôturée",F283&lt;&gt;""),TODAY()-F283,"")</f>
        <v/>
      </c>
    </row>
    <row r="284" ht="15" customHeight="1" s="59">
      <c r="C284" s="98">
        <f>IF(B284="","",IFERROR(VLOOKUP(B284,EQUIPEMENTS!A:B,2,0),""))</f>
        <v/>
      </c>
      <c r="F284" s="91" t="n"/>
      <c r="G284" s="91" t="n"/>
      <c r="O284" s="97">
        <f>IF(AND(L284&lt;&gt;"Clôturée",F284&lt;&gt;""),TODAY()-F284,"")</f>
        <v/>
      </c>
    </row>
    <row r="285" ht="15" customHeight="1" s="59">
      <c r="C285" s="98">
        <f>IF(B285="","",IFERROR(VLOOKUP(B285,EQUIPEMENTS!A:B,2,0),""))</f>
        <v/>
      </c>
      <c r="F285" s="91" t="n"/>
      <c r="G285" s="91" t="n"/>
      <c r="O285" s="97">
        <f>IF(AND(L285&lt;&gt;"Clôturée",F285&lt;&gt;""),TODAY()-F285,"")</f>
        <v/>
      </c>
    </row>
    <row r="286" ht="15" customHeight="1" s="59">
      <c r="C286" s="98">
        <f>IF(B286="","",IFERROR(VLOOKUP(B286,EQUIPEMENTS!A:B,2,0),""))</f>
        <v/>
      </c>
      <c r="F286" s="91" t="n"/>
      <c r="G286" s="91" t="n"/>
      <c r="O286" s="97">
        <f>IF(AND(L286&lt;&gt;"Clôturée",F286&lt;&gt;""),TODAY()-F286,"")</f>
        <v/>
      </c>
    </row>
    <row r="287" ht="15" customHeight="1" s="59">
      <c r="C287" s="98">
        <f>IF(B287="","",IFERROR(VLOOKUP(B287,EQUIPEMENTS!A:B,2,0),""))</f>
        <v/>
      </c>
      <c r="F287" s="91" t="n"/>
      <c r="G287" s="91" t="n"/>
      <c r="O287" s="97">
        <f>IF(AND(L287&lt;&gt;"Clôturée",F287&lt;&gt;""),TODAY()-F287,"")</f>
        <v/>
      </c>
    </row>
    <row r="288" ht="15" customHeight="1" s="59">
      <c r="C288" s="98">
        <f>IF(B288="","",IFERROR(VLOOKUP(B288,EQUIPEMENTS!A:B,2,0),""))</f>
        <v/>
      </c>
      <c r="F288" s="91" t="n"/>
      <c r="G288" s="91" t="n"/>
      <c r="O288" s="97">
        <f>IF(AND(L288&lt;&gt;"Clôturée",F288&lt;&gt;""),TODAY()-F288,"")</f>
        <v/>
      </c>
    </row>
    <row r="289" ht="15" customHeight="1" s="59">
      <c r="C289" s="98">
        <f>IF(B289="","",IFERROR(VLOOKUP(B289,EQUIPEMENTS!A:B,2,0),""))</f>
        <v/>
      </c>
      <c r="F289" s="91" t="n"/>
      <c r="G289" s="91" t="n"/>
      <c r="O289" s="97">
        <f>IF(AND(L289&lt;&gt;"Clôturée",F289&lt;&gt;""),TODAY()-F289,"")</f>
        <v/>
      </c>
    </row>
    <row r="290" ht="15" customHeight="1" s="59">
      <c r="C290" s="98">
        <f>IF(B290="","",IFERROR(VLOOKUP(B290,EQUIPEMENTS!A:B,2,0),""))</f>
        <v/>
      </c>
      <c r="F290" s="91" t="n"/>
      <c r="G290" s="91" t="n"/>
      <c r="O290" s="97">
        <f>IF(AND(L290&lt;&gt;"Clôturée",F290&lt;&gt;""),TODAY()-F290,"")</f>
        <v/>
      </c>
    </row>
    <row r="291" ht="15" customHeight="1" s="59">
      <c r="C291" s="98">
        <f>IF(B291="","",IFERROR(VLOOKUP(B291,EQUIPEMENTS!A:B,2,0),""))</f>
        <v/>
      </c>
      <c r="F291" s="91" t="n"/>
      <c r="G291" s="91" t="n"/>
      <c r="O291" s="97">
        <f>IF(AND(L291&lt;&gt;"Clôturée",F291&lt;&gt;""),TODAY()-F291,"")</f>
        <v/>
      </c>
    </row>
    <row r="292" ht="15" customHeight="1" s="59">
      <c r="C292" s="98">
        <f>IF(B292="","",IFERROR(VLOOKUP(B292,EQUIPEMENTS!A:B,2,0),""))</f>
        <v/>
      </c>
      <c r="F292" s="91" t="n"/>
      <c r="G292" s="91" t="n"/>
      <c r="O292" s="97">
        <f>IF(AND(L292&lt;&gt;"Clôturée",F292&lt;&gt;""),TODAY()-F292,"")</f>
        <v/>
      </c>
    </row>
    <row r="293" ht="15" customHeight="1" s="59">
      <c r="C293" s="98">
        <f>IF(B293="","",IFERROR(VLOOKUP(B293,EQUIPEMENTS!A:B,2,0),""))</f>
        <v/>
      </c>
      <c r="F293" s="91" t="n"/>
      <c r="G293" s="91" t="n"/>
      <c r="O293" s="97">
        <f>IF(AND(L293&lt;&gt;"Clôturée",F293&lt;&gt;""),TODAY()-F293,"")</f>
        <v/>
      </c>
    </row>
    <row r="294" ht="15" customHeight="1" s="59">
      <c r="C294" s="98">
        <f>IF(B294="","",IFERROR(VLOOKUP(B294,EQUIPEMENTS!A:B,2,0),""))</f>
        <v/>
      </c>
      <c r="F294" s="91" t="n"/>
      <c r="G294" s="91" t="n"/>
      <c r="O294" s="97">
        <f>IF(AND(L294&lt;&gt;"Clôturée",F294&lt;&gt;""),TODAY()-F294,"")</f>
        <v/>
      </c>
    </row>
    <row r="295" ht="15" customHeight="1" s="59">
      <c r="C295" s="98">
        <f>IF(B295="","",IFERROR(VLOOKUP(B295,EQUIPEMENTS!A:B,2,0),""))</f>
        <v/>
      </c>
      <c r="F295" s="91" t="n"/>
      <c r="G295" s="91" t="n"/>
      <c r="O295" s="97">
        <f>IF(AND(L295&lt;&gt;"Clôturée",F295&lt;&gt;""),TODAY()-F295,"")</f>
        <v/>
      </c>
    </row>
    <row r="296" ht="15" customHeight="1" s="59">
      <c r="C296" s="98">
        <f>IF(B296="","",IFERROR(VLOOKUP(B296,EQUIPEMENTS!A:B,2,0),""))</f>
        <v/>
      </c>
      <c r="F296" s="91" t="n"/>
      <c r="G296" s="91" t="n"/>
      <c r="O296" s="97">
        <f>IF(AND(L296&lt;&gt;"Clôturée",F296&lt;&gt;""),TODAY()-F296,"")</f>
        <v/>
      </c>
    </row>
    <row r="297" ht="15" customHeight="1" s="59">
      <c r="C297" s="98">
        <f>IF(B297="","",IFERROR(VLOOKUP(B297,EQUIPEMENTS!A:B,2,0),""))</f>
        <v/>
      </c>
      <c r="F297" s="91" t="n"/>
      <c r="G297" s="91" t="n"/>
      <c r="O297" s="97">
        <f>IF(AND(L297&lt;&gt;"Clôturée",F297&lt;&gt;""),TODAY()-F297,"")</f>
        <v/>
      </c>
    </row>
    <row r="298" ht="15" customHeight="1" s="59">
      <c r="C298" s="98">
        <f>IF(B298="","",IFERROR(VLOOKUP(B298,EQUIPEMENTS!A:B,2,0),""))</f>
        <v/>
      </c>
      <c r="F298" s="91" t="n"/>
      <c r="G298" s="91" t="n"/>
      <c r="O298" s="97">
        <f>IF(AND(L298&lt;&gt;"Clôturée",F298&lt;&gt;""),TODAY()-F298,"")</f>
        <v/>
      </c>
    </row>
    <row r="299" ht="15" customHeight="1" s="59">
      <c r="C299" s="98">
        <f>IF(B299="","",IFERROR(VLOOKUP(B299,EQUIPEMENTS!A:B,2,0),""))</f>
        <v/>
      </c>
      <c r="F299" s="91" t="n"/>
      <c r="G299" s="91" t="n"/>
      <c r="O299" s="97">
        <f>IF(AND(L299&lt;&gt;"Clôturée",F299&lt;&gt;""),TODAY()-F299,"")</f>
        <v/>
      </c>
    </row>
    <row r="300" ht="15" customHeight="1" s="59">
      <c r="C300" s="98">
        <f>IF(B300="","",IFERROR(VLOOKUP(B300,EQUIPEMENTS!A:B,2,0),""))</f>
        <v/>
      </c>
      <c r="F300" s="91" t="n"/>
      <c r="G300" s="91" t="n"/>
      <c r="O300" s="97">
        <f>IF(AND(L300&lt;&gt;"Clôturée",F300&lt;&gt;""),TODAY()-F300,"")</f>
        <v/>
      </c>
    </row>
    <row r="301" ht="15" customHeight="1" s="59">
      <c r="C301" s="98">
        <f>IF(B301="","",IFERROR(VLOOKUP(B301,EQUIPEMENTS!A:B,2,0),""))</f>
        <v/>
      </c>
      <c r="F301" s="91" t="n"/>
      <c r="G301" s="91" t="n"/>
      <c r="O301" s="97">
        <f>IF(AND(L301&lt;&gt;"Clôturée",F301&lt;&gt;""),TODAY()-F301,"")</f>
        <v/>
      </c>
    </row>
    <row r="302" ht="15" customHeight="1" s="59">
      <c r="C302" s="98">
        <f>IF(B302="","",IFERROR(VLOOKUP(B302,EQUIPEMENTS!A:B,2,0),""))</f>
        <v/>
      </c>
      <c r="F302" s="91" t="n"/>
      <c r="G302" s="91" t="n"/>
      <c r="O302" s="97">
        <f>IF(AND(L302&lt;&gt;"Clôturée",F302&lt;&gt;""),TODAY()-F302,"")</f>
        <v/>
      </c>
    </row>
    <row r="303" ht="15" customHeight="1" s="59">
      <c r="C303" s="98">
        <f>IF(B303="","",IFERROR(VLOOKUP(B303,EQUIPEMENTS!A:B,2,0),""))</f>
        <v/>
      </c>
      <c r="F303" s="91" t="n"/>
      <c r="G303" s="91" t="n"/>
      <c r="O303" s="97">
        <f>IF(AND(L303&lt;&gt;"Clôturée",F303&lt;&gt;""),TODAY()-F303,"")</f>
        <v/>
      </c>
    </row>
    <row r="304" ht="15" customHeight="1" s="59">
      <c r="C304" s="98">
        <f>IF(B304="","",IFERROR(VLOOKUP(B304,EQUIPEMENTS!A:B,2,0),""))</f>
        <v/>
      </c>
      <c r="F304" s="91" t="n"/>
      <c r="G304" s="91" t="n"/>
      <c r="O304" s="97">
        <f>IF(AND(L304&lt;&gt;"Clôturée",F304&lt;&gt;""),TODAY()-F304,"")</f>
        <v/>
      </c>
    </row>
    <row r="305" ht="15" customHeight="1" s="59">
      <c r="C305" s="98">
        <f>IF(B305="","",IFERROR(VLOOKUP(B305,EQUIPEMENTS!A:B,2,0),""))</f>
        <v/>
      </c>
      <c r="F305" s="91" t="n"/>
      <c r="G305" s="91" t="n"/>
      <c r="O305" s="97">
        <f>IF(AND(L305&lt;&gt;"Clôturée",F305&lt;&gt;""),TODAY()-F305,"")</f>
        <v/>
      </c>
    </row>
    <row r="306" ht="15" customHeight="1" s="59">
      <c r="C306" s="98">
        <f>IF(B306="","",IFERROR(VLOOKUP(B306,EQUIPEMENTS!A:B,2,0),""))</f>
        <v/>
      </c>
      <c r="F306" s="91" t="n"/>
      <c r="G306" s="91" t="n"/>
      <c r="O306" s="97">
        <f>IF(AND(L306&lt;&gt;"Clôturée",F306&lt;&gt;""),TODAY()-F306,"")</f>
        <v/>
      </c>
    </row>
    <row r="307" ht="15" customHeight="1" s="59">
      <c r="C307" s="98">
        <f>IF(B307="","",IFERROR(VLOOKUP(B307,EQUIPEMENTS!A:B,2,0),""))</f>
        <v/>
      </c>
      <c r="F307" s="91" t="n"/>
      <c r="G307" s="91" t="n"/>
      <c r="O307" s="97">
        <f>IF(AND(L307&lt;&gt;"Clôturée",F307&lt;&gt;""),TODAY()-F307,"")</f>
        <v/>
      </c>
    </row>
    <row r="308" ht="15" customHeight="1" s="59">
      <c r="C308" s="98">
        <f>IF(B308="","",IFERROR(VLOOKUP(B308,EQUIPEMENTS!A:B,2,0),""))</f>
        <v/>
      </c>
      <c r="F308" s="91" t="n"/>
      <c r="G308" s="91" t="n"/>
      <c r="O308" s="97">
        <f>IF(AND(L308&lt;&gt;"Clôturée",F308&lt;&gt;""),TODAY()-F308,"")</f>
        <v/>
      </c>
    </row>
    <row r="309" ht="15" customHeight="1" s="59">
      <c r="C309" s="98">
        <f>IF(B309="","",IFERROR(VLOOKUP(B309,EQUIPEMENTS!A:B,2,0),""))</f>
        <v/>
      </c>
      <c r="F309" s="91" t="n"/>
      <c r="G309" s="91" t="n"/>
      <c r="O309" s="97">
        <f>IF(AND(L309&lt;&gt;"Clôturée",F309&lt;&gt;""),TODAY()-F309,"")</f>
        <v/>
      </c>
    </row>
    <row r="310" ht="15" customHeight="1" s="59">
      <c r="C310" s="98">
        <f>IF(B310="","",IFERROR(VLOOKUP(B310,EQUIPEMENTS!A:B,2,0),""))</f>
        <v/>
      </c>
      <c r="F310" s="91" t="n"/>
      <c r="G310" s="91" t="n"/>
      <c r="O310" s="97">
        <f>IF(AND(L310&lt;&gt;"Clôturée",F310&lt;&gt;""),TODAY()-F310,"")</f>
        <v/>
      </c>
    </row>
    <row r="311" ht="15" customHeight="1" s="59">
      <c r="C311" s="98">
        <f>IF(B311="","",IFERROR(VLOOKUP(B311,EQUIPEMENTS!A:B,2,0),""))</f>
        <v/>
      </c>
      <c r="F311" s="91" t="n"/>
      <c r="G311" s="91" t="n"/>
      <c r="O311" s="97">
        <f>IF(AND(L311&lt;&gt;"Clôturée",F311&lt;&gt;""),TODAY()-F311,"")</f>
        <v/>
      </c>
    </row>
    <row r="312" ht="15" customHeight="1" s="59">
      <c r="C312" s="98">
        <f>IF(B312="","",IFERROR(VLOOKUP(B312,EQUIPEMENTS!A:B,2,0),""))</f>
        <v/>
      </c>
      <c r="F312" s="91" t="n"/>
      <c r="G312" s="91" t="n"/>
      <c r="O312" s="97">
        <f>IF(AND(L312&lt;&gt;"Clôturée",F312&lt;&gt;""),TODAY()-F312,"")</f>
        <v/>
      </c>
    </row>
    <row r="313" ht="15" customHeight="1" s="59">
      <c r="C313" s="98">
        <f>IF(B313="","",IFERROR(VLOOKUP(B313,EQUIPEMENTS!A:B,2,0),""))</f>
        <v/>
      </c>
      <c r="F313" s="91" t="n"/>
      <c r="G313" s="91" t="n"/>
      <c r="O313" s="97">
        <f>IF(AND(L313&lt;&gt;"Clôturée",F313&lt;&gt;""),TODAY()-F313,"")</f>
        <v/>
      </c>
    </row>
    <row r="314" ht="15" customHeight="1" s="59">
      <c r="C314" s="98">
        <f>IF(B314="","",IFERROR(VLOOKUP(B314,EQUIPEMENTS!A:B,2,0),""))</f>
        <v/>
      </c>
      <c r="F314" s="91" t="n"/>
      <c r="G314" s="91" t="n"/>
      <c r="O314" s="97">
        <f>IF(AND(L314&lt;&gt;"Clôturée",F314&lt;&gt;""),TODAY()-F314,"")</f>
        <v/>
      </c>
    </row>
    <row r="315" ht="15" customHeight="1" s="59">
      <c r="C315" s="98">
        <f>IF(B315="","",IFERROR(VLOOKUP(B315,EQUIPEMENTS!A:B,2,0),""))</f>
        <v/>
      </c>
      <c r="F315" s="91" t="n"/>
      <c r="G315" s="91" t="n"/>
      <c r="O315" s="97">
        <f>IF(AND(L315&lt;&gt;"Clôturée",F315&lt;&gt;""),TODAY()-F315,"")</f>
        <v/>
      </c>
    </row>
    <row r="316" ht="15" customHeight="1" s="59">
      <c r="C316" s="98">
        <f>IF(B316="","",IFERROR(VLOOKUP(B316,EQUIPEMENTS!A:B,2,0),""))</f>
        <v/>
      </c>
      <c r="F316" s="91" t="n"/>
      <c r="G316" s="91" t="n"/>
      <c r="O316" s="97">
        <f>IF(AND(L316&lt;&gt;"Clôturée",F316&lt;&gt;""),TODAY()-F316,"")</f>
        <v/>
      </c>
    </row>
    <row r="317" ht="15" customHeight="1" s="59">
      <c r="C317" s="98">
        <f>IF(B317="","",IFERROR(VLOOKUP(B317,EQUIPEMENTS!A:B,2,0),""))</f>
        <v/>
      </c>
      <c r="F317" s="91" t="n"/>
      <c r="G317" s="91" t="n"/>
      <c r="O317" s="97">
        <f>IF(AND(L317&lt;&gt;"Clôturée",F317&lt;&gt;""),TODAY()-F317,"")</f>
        <v/>
      </c>
    </row>
    <row r="318" ht="15" customHeight="1" s="59">
      <c r="C318" s="98">
        <f>IF(B318="","",IFERROR(VLOOKUP(B318,EQUIPEMENTS!A:B,2,0),""))</f>
        <v/>
      </c>
      <c r="F318" s="91" t="n"/>
      <c r="G318" s="91" t="n"/>
      <c r="O318" s="97">
        <f>IF(AND(L318&lt;&gt;"Clôturée",F318&lt;&gt;""),TODAY()-F318,"")</f>
        <v/>
      </c>
    </row>
    <row r="319" ht="15" customHeight="1" s="59">
      <c r="C319" s="98">
        <f>IF(B319="","",IFERROR(VLOOKUP(B319,EQUIPEMENTS!A:B,2,0),""))</f>
        <v/>
      </c>
      <c r="F319" s="91" t="n"/>
      <c r="G319" s="91" t="n"/>
      <c r="O319" s="97">
        <f>IF(AND(L319&lt;&gt;"Clôturée",F319&lt;&gt;""),TODAY()-F319,"")</f>
        <v/>
      </c>
    </row>
    <row r="320" ht="15" customHeight="1" s="59">
      <c r="C320" s="98">
        <f>IF(B320="","",IFERROR(VLOOKUP(B320,EQUIPEMENTS!A:B,2,0),""))</f>
        <v/>
      </c>
      <c r="F320" s="91" t="n"/>
      <c r="G320" s="91" t="n"/>
      <c r="O320" s="97">
        <f>IF(AND(L320&lt;&gt;"Clôturée",F320&lt;&gt;""),TODAY()-F320,"")</f>
        <v/>
      </c>
    </row>
    <row r="321" ht="15" customHeight="1" s="59">
      <c r="C321" s="98">
        <f>IF(B321="","",IFERROR(VLOOKUP(B321,EQUIPEMENTS!A:B,2,0),""))</f>
        <v/>
      </c>
      <c r="F321" s="91" t="n"/>
      <c r="G321" s="91" t="n"/>
      <c r="O321" s="97">
        <f>IF(AND(L321&lt;&gt;"Clôturée",F321&lt;&gt;""),TODAY()-F321,"")</f>
        <v/>
      </c>
    </row>
    <row r="322" ht="15" customHeight="1" s="59">
      <c r="C322" s="98">
        <f>IF(B322="","",IFERROR(VLOOKUP(B322,EQUIPEMENTS!A:B,2,0),""))</f>
        <v/>
      </c>
      <c r="F322" s="91" t="n"/>
      <c r="G322" s="91" t="n"/>
      <c r="O322" s="97">
        <f>IF(AND(L322&lt;&gt;"Clôturée",F322&lt;&gt;""),TODAY()-F322,"")</f>
        <v/>
      </c>
    </row>
    <row r="323" ht="15" customHeight="1" s="59">
      <c r="C323" s="98">
        <f>IF(B323="","",IFERROR(VLOOKUP(B323,EQUIPEMENTS!A:B,2,0),""))</f>
        <v/>
      </c>
      <c r="F323" s="91" t="n"/>
      <c r="G323" s="91" t="n"/>
      <c r="O323" s="97">
        <f>IF(AND(L323&lt;&gt;"Clôturée",F323&lt;&gt;""),TODAY()-F323,"")</f>
        <v/>
      </c>
    </row>
    <row r="324" ht="15" customHeight="1" s="59">
      <c r="C324" s="98">
        <f>IF(B324="","",IFERROR(VLOOKUP(B324,EQUIPEMENTS!A:B,2,0),""))</f>
        <v/>
      </c>
      <c r="F324" s="91" t="n"/>
      <c r="G324" s="91" t="n"/>
      <c r="O324" s="97">
        <f>IF(AND(L324&lt;&gt;"Clôturée",F324&lt;&gt;""),TODAY()-F324,"")</f>
        <v/>
      </c>
    </row>
    <row r="325" ht="15" customHeight="1" s="59">
      <c r="C325" s="98">
        <f>IF(B325="","",IFERROR(VLOOKUP(B325,EQUIPEMENTS!A:B,2,0),""))</f>
        <v/>
      </c>
      <c r="F325" s="91" t="n"/>
      <c r="G325" s="91" t="n"/>
      <c r="O325" s="97">
        <f>IF(AND(L325&lt;&gt;"Clôturée",F325&lt;&gt;""),TODAY()-F325,"")</f>
        <v/>
      </c>
    </row>
    <row r="326" ht="15" customHeight="1" s="59">
      <c r="C326" s="98">
        <f>IF(B326="","",IFERROR(VLOOKUP(B326,EQUIPEMENTS!A:B,2,0),""))</f>
        <v/>
      </c>
      <c r="F326" s="91" t="n"/>
      <c r="G326" s="91" t="n"/>
      <c r="O326" s="97">
        <f>IF(AND(L326&lt;&gt;"Clôturée",F326&lt;&gt;""),TODAY()-F326,"")</f>
        <v/>
      </c>
    </row>
    <row r="327" ht="15" customHeight="1" s="59">
      <c r="C327" s="98">
        <f>IF(B327="","",IFERROR(VLOOKUP(B327,EQUIPEMENTS!A:B,2,0),""))</f>
        <v/>
      </c>
      <c r="F327" s="91" t="n"/>
      <c r="G327" s="91" t="n"/>
      <c r="O327" s="97">
        <f>IF(AND(L327&lt;&gt;"Clôturée",F327&lt;&gt;""),TODAY()-F327,"")</f>
        <v/>
      </c>
    </row>
    <row r="328" ht="15" customHeight="1" s="59">
      <c r="C328" s="98">
        <f>IF(B328="","",IFERROR(VLOOKUP(B328,EQUIPEMENTS!A:B,2,0),""))</f>
        <v/>
      </c>
      <c r="F328" s="91" t="n"/>
      <c r="G328" s="91" t="n"/>
      <c r="O328" s="97">
        <f>IF(AND(L328&lt;&gt;"Clôturée",F328&lt;&gt;""),TODAY()-F328,"")</f>
        <v/>
      </c>
    </row>
    <row r="329" ht="15" customHeight="1" s="59">
      <c r="C329" s="98">
        <f>IF(B329="","",IFERROR(VLOOKUP(B329,EQUIPEMENTS!A:B,2,0),""))</f>
        <v/>
      </c>
      <c r="F329" s="91" t="n"/>
      <c r="G329" s="91" t="n"/>
      <c r="O329" s="97">
        <f>IF(AND(L329&lt;&gt;"Clôturée",F329&lt;&gt;""),TODAY()-F329,"")</f>
        <v/>
      </c>
    </row>
    <row r="330" ht="15" customHeight="1" s="59">
      <c r="C330" s="98">
        <f>IF(B330="","",IFERROR(VLOOKUP(B330,EQUIPEMENTS!A:B,2,0),""))</f>
        <v/>
      </c>
      <c r="F330" s="91" t="n"/>
      <c r="G330" s="91" t="n"/>
      <c r="O330" s="97">
        <f>IF(AND(L330&lt;&gt;"Clôturée",F330&lt;&gt;""),TODAY()-F330,"")</f>
        <v/>
      </c>
    </row>
    <row r="331" ht="15" customHeight="1" s="59">
      <c r="C331" s="98">
        <f>IF(B331="","",IFERROR(VLOOKUP(B331,EQUIPEMENTS!A:B,2,0),""))</f>
        <v/>
      </c>
      <c r="F331" s="91" t="n"/>
      <c r="G331" s="91" t="n"/>
      <c r="O331" s="97">
        <f>IF(AND(L331&lt;&gt;"Clôturée",F331&lt;&gt;""),TODAY()-F331,"")</f>
        <v/>
      </c>
    </row>
    <row r="332" ht="15" customHeight="1" s="59">
      <c r="C332" s="98">
        <f>IF(B332="","",IFERROR(VLOOKUP(B332,EQUIPEMENTS!A:B,2,0),""))</f>
        <v/>
      </c>
      <c r="F332" s="91" t="n"/>
      <c r="G332" s="91" t="n"/>
      <c r="O332" s="97">
        <f>IF(AND(L332&lt;&gt;"Clôturée",F332&lt;&gt;""),TODAY()-F332,"")</f>
        <v/>
      </c>
    </row>
    <row r="333" ht="15" customHeight="1" s="59">
      <c r="C333" s="98">
        <f>IF(B333="","",IFERROR(VLOOKUP(B333,EQUIPEMENTS!A:B,2,0),""))</f>
        <v/>
      </c>
      <c r="F333" s="91" t="n"/>
      <c r="G333" s="91" t="n"/>
      <c r="O333" s="97">
        <f>IF(AND(L333&lt;&gt;"Clôturée",F333&lt;&gt;""),TODAY()-F333,"")</f>
        <v/>
      </c>
    </row>
    <row r="334" ht="15" customHeight="1" s="59">
      <c r="C334" s="98">
        <f>IF(B334="","",IFERROR(VLOOKUP(B334,EQUIPEMENTS!A:B,2,0),""))</f>
        <v/>
      </c>
      <c r="F334" s="91" t="n"/>
      <c r="G334" s="91" t="n"/>
      <c r="O334" s="97">
        <f>IF(AND(L334&lt;&gt;"Clôturée",F334&lt;&gt;""),TODAY()-F334,"")</f>
        <v/>
      </c>
    </row>
    <row r="335" ht="15" customHeight="1" s="59">
      <c r="C335" s="98">
        <f>IF(B335="","",IFERROR(VLOOKUP(B335,EQUIPEMENTS!A:B,2,0),""))</f>
        <v/>
      </c>
      <c r="F335" s="91" t="n"/>
      <c r="G335" s="91" t="n"/>
      <c r="O335" s="97">
        <f>IF(AND(L335&lt;&gt;"Clôturée",F335&lt;&gt;""),TODAY()-F335,"")</f>
        <v/>
      </c>
    </row>
    <row r="336" ht="15" customHeight="1" s="59">
      <c r="C336" s="98">
        <f>IF(B336="","",IFERROR(VLOOKUP(B336,EQUIPEMENTS!A:B,2,0),""))</f>
        <v/>
      </c>
      <c r="F336" s="91" t="n"/>
      <c r="G336" s="91" t="n"/>
      <c r="O336" s="97">
        <f>IF(AND(L336&lt;&gt;"Clôturée",F336&lt;&gt;""),TODAY()-F336,"")</f>
        <v/>
      </c>
    </row>
    <row r="337" ht="15" customHeight="1" s="59">
      <c r="C337" s="98">
        <f>IF(B337="","",IFERROR(VLOOKUP(B337,EQUIPEMENTS!A:B,2,0),""))</f>
        <v/>
      </c>
      <c r="F337" s="91" t="n"/>
      <c r="G337" s="91" t="n"/>
      <c r="O337" s="97">
        <f>IF(AND(L337&lt;&gt;"Clôturée",F337&lt;&gt;""),TODAY()-F337,"")</f>
        <v/>
      </c>
    </row>
    <row r="338" ht="15" customHeight="1" s="59">
      <c r="C338" s="98">
        <f>IF(B338="","",IFERROR(VLOOKUP(B338,EQUIPEMENTS!A:B,2,0),""))</f>
        <v/>
      </c>
      <c r="F338" s="91" t="n"/>
      <c r="G338" s="91" t="n"/>
      <c r="O338" s="97">
        <f>IF(AND(L338&lt;&gt;"Clôturée",F338&lt;&gt;""),TODAY()-F338,"")</f>
        <v/>
      </c>
    </row>
    <row r="339" ht="15" customHeight="1" s="59">
      <c r="C339" s="98">
        <f>IF(B339="","",IFERROR(VLOOKUP(B339,EQUIPEMENTS!A:B,2,0),""))</f>
        <v/>
      </c>
      <c r="F339" s="91" t="n"/>
      <c r="G339" s="91" t="n"/>
      <c r="O339" s="97">
        <f>IF(AND(L339&lt;&gt;"Clôturée",F339&lt;&gt;""),TODAY()-F339,"")</f>
        <v/>
      </c>
    </row>
    <row r="340" ht="15" customHeight="1" s="59">
      <c r="C340" s="98">
        <f>IF(B340="","",IFERROR(VLOOKUP(B340,EQUIPEMENTS!A:B,2,0),""))</f>
        <v/>
      </c>
      <c r="F340" s="91" t="n"/>
      <c r="G340" s="91" t="n"/>
      <c r="O340" s="97">
        <f>IF(AND(L340&lt;&gt;"Clôturée",F340&lt;&gt;""),TODAY()-F340,"")</f>
        <v/>
      </c>
    </row>
    <row r="341" ht="15" customHeight="1" s="59">
      <c r="C341" s="98">
        <f>IF(B341="","",IFERROR(VLOOKUP(B341,EQUIPEMENTS!A:B,2,0),""))</f>
        <v/>
      </c>
      <c r="F341" s="91" t="n"/>
      <c r="G341" s="91" t="n"/>
      <c r="O341" s="97">
        <f>IF(AND(L341&lt;&gt;"Clôturée",F341&lt;&gt;""),TODAY()-F341,"")</f>
        <v/>
      </c>
    </row>
    <row r="342" ht="15" customHeight="1" s="59">
      <c r="C342" s="98">
        <f>IF(B342="","",IFERROR(VLOOKUP(B342,EQUIPEMENTS!A:B,2,0),""))</f>
        <v/>
      </c>
      <c r="F342" s="91" t="n"/>
      <c r="G342" s="91" t="n"/>
      <c r="O342" s="97">
        <f>IF(AND(L342&lt;&gt;"Clôturée",F342&lt;&gt;""),TODAY()-F342,"")</f>
        <v/>
      </c>
    </row>
    <row r="343" ht="15" customHeight="1" s="59">
      <c r="C343" s="98">
        <f>IF(B343="","",IFERROR(VLOOKUP(B343,EQUIPEMENTS!A:B,2,0),""))</f>
        <v/>
      </c>
      <c r="F343" s="91" t="n"/>
      <c r="G343" s="91" t="n"/>
      <c r="O343" s="97">
        <f>IF(AND(L343&lt;&gt;"Clôturée",F343&lt;&gt;""),TODAY()-F343,"")</f>
        <v/>
      </c>
    </row>
    <row r="344" ht="15" customHeight="1" s="59">
      <c r="C344" s="98">
        <f>IF(B344="","",IFERROR(VLOOKUP(B344,EQUIPEMENTS!A:B,2,0),""))</f>
        <v/>
      </c>
      <c r="F344" s="91" t="n"/>
      <c r="G344" s="91" t="n"/>
      <c r="O344" s="97">
        <f>IF(AND(L344&lt;&gt;"Clôturée",F344&lt;&gt;""),TODAY()-F344,"")</f>
        <v/>
      </c>
    </row>
    <row r="345" ht="15" customHeight="1" s="59">
      <c r="C345" s="98">
        <f>IF(B345="","",IFERROR(VLOOKUP(B345,EQUIPEMENTS!A:B,2,0),""))</f>
        <v/>
      </c>
      <c r="F345" s="91" t="n"/>
      <c r="G345" s="91" t="n"/>
      <c r="O345" s="97">
        <f>IF(AND(L345&lt;&gt;"Clôturée",F345&lt;&gt;""),TODAY()-F345,"")</f>
        <v/>
      </c>
    </row>
    <row r="346" ht="15" customHeight="1" s="59">
      <c r="C346" s="98">
        <f>IF(B346="","",IFERROR(VLOOKUP(B346,EQUIPEMENTS!A:B,2,0),""))</f>
        <v/>
      </c>
      <c r="F346" s="91" t="n"/>
      <c r="G346" s="91" t="n"/>
      <c r="O346" s="97">
        <f>IF(AND(L346&lt;&gt;"Clôturée",F346&lt;&gt;""),TODAY()-F346,"")</f>
        <v/>
      </c>
    </row>
    <row r="347" ht="15" customHeight="1" s="59">
      <c r="C347" s="98">
        <f>IF(B347="","",IFERROR(VLOOKUP(B347,EQUIPEMENTS!A:B,2,0),""))</f>
        <v/>
      </c>
      <c r="F347" s="91" t="n"/>
      <c r="G347" s="91" t="n"/>
      <c r="O347" s="97">
        <f>IF(AND(L347&lt;&gt;"Clôturée",F347&lt;&gt;""),TODAY()-F347,"")</f>
        <v/>
      </c>
    </row>
    <row r="348" ht="15" customHeight="1" s="59">
      <c r="C348" s="98">
        <f>IF(B348="","",IFERROR(VLOOKUP(B348,EQUIPEMENTS!A:B,2,0),""))</f>
        <v/>
      </c>
      <c r="F348" s="91" t="n"/>
      <c r="G348" s="91" t="n"/>
      <c r="O348" s="97">
        <f>IF(AND(L348&lt;&gt;"Clôturée",F348&lt;&gt;""),TODAY()-F348,"")</f>
        <v/>
      </c>
    </row>
    <row r="349" ht="15" customHeight="1" s="59">
      <c r="C349" s="98">
        <f>IF(B349="","",IFERROR(VLOOKUP(B349,EQUIPEMENTS!A:B,2,0),""))</f>
        <v/>
      </c>
      <c r="F349" s="91" t="n"/>
      <c r="G349" s="91" t="n"/>
      <c r="O349" s="97">
        <f>IF(AND(L349&lt;&gt;"Clôturée",F349&lt;&gt;""),TODAY()-F349,"")</f>
        <v/>
      </c>
    </row>
    <row r="350" ht="15" customHeight="1" s="59">
      <c r="C350" s="98">
        <f>IF(B350="","",IFERROR(VLOOKUP(B350,EQUIPEMENTS!A:B,2,0),""))</f>
        <v/>
      </c>
      <c r="F350" s="91" t="n"/>
      <c r="G350" s="91" t="n"/>
      <c r="O350" s="97">
        <f>IF(AND(L350&lt;&gt;"Clôturée",F350&lt;&gt;""),TODAY()-F350,"")</f>
        <v/>
      </c>
    </row>
    <row r="351" ht="15" customHeight="1" s="59">
      <c r="C351" s="98">
        <f>IF(B351="","",IFERROR(VLOOKUP(B351,EQUIPEMENTS!A:B,2,0),""))</f>
        <v/>
      </c>
      <c r="F351" s="91" t="n"/>
      <c r="G351" s="91" t="n"/>
      <c r="O351" s="97">
        <f>IF(AND(L351&lt;&gt;"Clôturée",F351&lt;&gt;""),TODAY()-F351,"")</f>
        <v/>
      </c>
    </row>
    <row r="352" ht="15" customHeight="1" s="59">
      <c r="C352" s="98">
        <f>IF(B352="","",IFERROR(VLOOKUP(B352,EQUIPEMENTS!A:B,2,0),""))</f>
        <v/>
      </c>
      <c r="F352" s="91" t="n"/>
      <c r="G352" s="91" t="n"/>
      <c r="O352" s="97">
        <f>IF(AND(L352&lt;&gt;"Clôturée",F352&lt;&gt;""),TODAY()-F352,"")</f>
        <v/>
      </c>
    </row>
    <row r="353" ht="15" customHeight="1" s="59">
      <c r="C353" s="98">
        <f>IF(B353="","",IFERROR(VLOOKUP(B353,EQUIPEMENTS!A:B,2,0),""))</f>
        <v/>
      </c>
      <c r="F353" s="91" t="n"/>
      <c r="G353" s="91" t="n"/>
      <c r="O353" s="97">
        <f>IF(AND(L353&lt;&gt;"Clôturée",F353&lt;&gt;""),TODAY()-F353,"")</f>
        <v/>
      </c>
    </row>
    <row r="354" ht="15" customHeight="1" s="59">
      <c r="C354" s="98">
        <f>IF(B354="","",IFERROR(VLOOKUP(B354,EQUIPEMENTS!A:B,2,0),""))</f>
        <v/>
      </c>
      <c r="F354" s="91" t="n"/>
      <c r="G354" s="91" t="n"/>
      <c r="O354" s="97">
        <f>IF(AND(L354&lt;&gt;"Clôturée",F354&lt;&gt;""),TODAY()-F354,"")</f>
        <v/>
      </c>
    </row>
    <row r="355" ht="15" customHeight="1" s="59">
      <c r="C355" s="98">
        <f>IF(B355="","",IFERROR(VLOOKUP(B355,EQUIPEMENTS!A:B,2,0),""))</f>
        <v/>
      </c>
      <c r="F355" s="91" t="n"/>
      <c r="G355" s="91" t="n"/>
      <c r="O355" s="97">
        <f>IF(AND(L355&lt;&gt;"Clôturée",F355&lt;&gt;""),TODAY()-F355,"")</f>
        <v/>
      </c>
    </row>
    <row r="356" ht="15" customHeight="1" s="59">
      <c r="C356" s="98">
        <f>IF(B356="","",IFERROR(VLOOKUP(B356,EQUIPEMENTS!A:B,2,0),""))</f>
        <v/>
      </c>
      <c r="F356" s="91" t="n"/>
      <c r="G356" s="91" t="n"/>
      <c r="O356" s="97">
        <f>IF(AND(L356&lt;&gt;"Clôturée",F356&lt;&gt;""),TODAY()-F356,"")</f>
        <v/>
      </c>
    </row>
    <row r="357" ht="15" customHeight="1" s="59">
      <c r="C357" s="98">
        <f>IF(B357="","",IFERROR(VLOOKUP(B357,EQUIPEMENTS!A:B,2,0),""))</f>
        <v/>
      </c>
      <c r="F357" s="91" t="n"/>
      <c r="G357" s="91" t="n"/>
      <c r="O357" s="97">
        <f>IF(AND(L357&lt;&gt;"Clôturée",F357&lt;&gt;""),TODAY()-F357,"")</f>
        <v/>
      </c>
    </row>
    <row r="358" ht="15" customHeight="1" s="59">
      <c r="C358" s="98">
        <f>IF(B358="","",IFERROR(VLOOKUP(B358,EQUIPEMENTS!A:B,2,0),""))</f>
        <v/>
      </c>
      <c r="F358" s="91" t="n"/>
      <c r="G358" s="91" t="n"/>
      <c r="O358" s="97">
        <f>IF(AND(L358&lt;&gt;"Clôturée",F358&lt;&gt;""),TODAY()-F358,"")</f>
        <v/>
      </c>
    </row>
    <row r="359" ht="15" customHeight="1" s="59">
      <c r="C359" s="98">
        <f>IF(B359="","",IFERROR(VLOOKUP(B359,EQUIPEMENTS!A:B,2,0),""))</f>
        <v/>
      </c>
      <c r="F359" s="91" t="n"/>
      <c r="G359" s="91" t="n"/>
      <c r="O359" s="97">
        <f>IF(AND(L359&lt;&gt;"Clôturée",F359&lt;&gt;""),TODAY()-F359,"")</f>
        <v/>
      </c>
    </row>
    <row r="360" ht="15" customHeight="1" s="59">
      <c r="C360" s="98">
        <f>IF(B360="","",IFERROR(VLOOKUP(B360,EQUIPEMENTS!A:B,2,0),""))</f>
        <v/>
      </c>
      <c r="F360" s="91" t="n"/>
      <c r="G360" s="91" t="n"/>
      <c r="O360" s="97">
        <f>IF(AND(L360&lt;&gt;"Clôturée",F360&lt;&gt;""),TODAY()-F360,"")</f>
        <v/>
      </c>
    </row>
    <row r="361" ht="15" customHeight="1" s="59">
      <c r="C361" s="98">
        <f>IF(B361="","",IFERROR(VLOOKUP(B361,EQUIPEMENTS!A:B,2,0),""))</f>
        <v/>
      </c>
      <c r="F361" s="91" t="n"/>
      <c r="G361" s="91" t="n"/>
      <c r="O361" s="97">
        <f>IF(AND(L361&lt;&gt;"Clôturée",F361&lt;&gt;""),TODAY()-F361,"")</f>
        <v/>
      </c>
    </row>
    <row r="362" ht="15" customHeight="1" s="59">
      <c r="C362" s="98">
        <f>IF(B362="","",IFERROR(VLOOKUP(B362,EQUIPEMENTS!A:B,2,0),""))</f>
        <v/>
      </c>
      <c r="F362" s="91" t="n"/>
      <c r="G362" s="91" t="n"/>
      <c r="O362" s="97">
        <f>IF(AND(L362&lt;&gt;"Clôturée",F362&lt;&gt;""),TODAY()-F362,"")</f>
        <v/>
      </c>
    </row>
    <row r="363" ht="15" customHeight="1" s="59">
      <c r="C363" s="98">
        <f>IF(B363="","",IFERROR(VLOOKUP(B363,EQUIPEMENTS!A:B,2,0),""))</f>
        <v/>
      </c>
      <c r="F363" s="91" t="n"/>
      <c r="G363" s="91" t="n"/>
      <c r="O363" s="97">
        <f>IF(AND(L363&lt;&gt;"Clôturée",F363&lt;&gt;""),TODAY()-F363,"")</f>
        <v/>
      </c>
    </row>
    <row r="364" ht="15" customHeight="1" s="59">
      <c r="C364" s="98">
        <f>IF(B364="","",IFERROR(VLOOKUP(B364,EQUIPEMENTS!A:B,2,0),""))</f>
        <v/>
      </c>
      <c r="F364" s="91" t="n"/>
      <c r="G364" s="91" t="n"/>
      <c r="O364" s="97">
        <f>IF(AND(L364&lt;&gt;"Clôturée",F364&lt;&gt;""),TODAY()-F364,"")</f>
        <v/>
      </c>
    </row>
    <row r="365" ht="15" customHeight="1" s="59">
      <c r="C365" s="98">
        <f>IF(B365="","",IFERROR(VLOOKUP(B365,EQUIPEMENTS!A:B,2,0),""))</f>
        <v/>
      </c>
      <c r="F365" s="91" t="n"/>
      <c r="G365" s="91" t="n"/>
      <c r="O365" s="97">
        <f>IF(AND(L365&lt;&gt;"Clôturée",F365&lt;&gt;""),TODAY()-F365,"")</f>
        <v/>
      </c>
    </row>
    <row r="366" ht="15" customHeight="1" s="59">
      <c r="C366" s="98">
        <f>IF(B366="","",IFERROR(VLOOKUP(B366,EQUIPEMENTS!A:B,2,0),""))</f>
        <v/>
      </c>
      <c r="F366" s="91" t="n"/>
      <c r="G366" s="91" t="n"/>
      <c r="O366" s="97">
        <f>IF(AND(L366&lt;&gt;"Clôturée",F366&lt;&gt;""),TODAY()-F366,"")</f>
        <v/>
      </c>
    </row>
    <row r="367" ht="15" customHeight="1" s="59">
      <c r="C367" s="98">
        <f>IF(B367="","",IFERROR(VLOOKUP(B367,EQUIPEMENTS!A:B,2,0),""))</f>
        <v/>
      </c>
      <c r="F367" s="91" t="n"/>
      <c r="G367" s="91" t="n"/>
      <c r="O367" s="97">
        <f>IF(AND(L367&lt;&gt;"Clôturée",F367&lt;&gt;""),TODAY()-F367,"")</f>
        <v/>
      </c>
    </row>
    <row r="368" ht="15" customHeight="1" s="59">
      <c r="C368" s="98">
        <f>IF(B368="","",IFERROR(VLOOKUP(B368,EQUIPEMENTS!A:B,2,0),""))</f>
        <v/>
      </c>
      <c r="F368" s="91" t="n"/>
      <c r="G368" s="91" t="n"/>
      <c r="O368" s="97">
        <f>IF(AND(L368&lt;&gt;"Clôturée",F368&lt;&gt;""),TODAY()-F368,"")</f>
        <v/>
      </c>
    </row>
    <row r="369" ht="15" customHeight="1" s="59">
      <c r="C369" s="98">
        <f>IF(B369="","",IFERROR(VLOOKUP(B369,EQUIPEMENTS!A:B,2,0),""))</f>
        <v/>
      </c>
      <c r="F369" s="91" t="n"/>
      <c r="G369" s="91" t="n"/>
      <c r="O369" s="97">
        <f>IF(AND(L369&lt;&gt;"Clôturée",F369&lt;&gt;""),TODAY()-F369,"")</f>
        <v/>
      </c>
    </row>
    <row r="370" ht="15" customHeight="1" s="59">
      <c r="C370" s="98">
        <f>IF(B370="","",IFERROR(VLOOKUP(B370,EQUIPEMENTS!A:B,2,0),""))</f>
        <v/>
      </c>
      <c r="F370" s="91" t="n"/>
      <c r="G370" s="91" t="n"/>
      <c r="O370" s="97">
        <f>IF(AND(L370&lt;&gt;"Clôturée",F370&lt;&gt;""),TODAY()-F370,"")</f>
        <v/>
      </c>
    </row>
    <row r="371" ht="15" customHeight="1" s="59">
      <c r="C371" s="98">
        <f>IF(B371="","",IFERROR(VLOOKUP(B371,EQUIPEMENTS!A:B,2,0),""))</f>
        <v/>
      </c>
      <c r="F371" s="91" t="n"/>
      <c r="G371" s="91" t="n"/>
      <c r="O371" s="97">
        <f>IF(AND(L371&lt;&gt;"Clôturée",F371&lt;&gt;""),TODAY()-F371,"")</f>
        <v/>
      </c>
    </row>
    <row r="372" ht="15" customHeight="1" s="59">
      <c r="C372" s="98">
        <f>IF(B372="","",IFERROR(VLOOKUP(B372,EQUIPEMENTS!A:B,2,0),""))</f>
        <v/>
      </c>
      <c r="F372" s="91" t="n"/>
      <c r="G372" s="91" t="n"/>
      <c r="O372" s="97">
        <f>IF(AND(L372&lt;&gt;"Clôturée",F372&lt;&gt;""),TODAY()-F372,"")</f>
        <v/>
      </c>
    </row>
    <row r="373" ht="15" customHeight="1" s="59">
      <c r="C373" s="98">
        <f>IF(B373="","",IFERROR(VLOOKUP(B373,EQUIPEMENTS!A:B,2,0),""))</f>
        <v/>
      </c>
      <c r="F373" s="91" t="n"/>
      <c r="G373" s="91" t="n"/>
      <c r="O373" s="97">
        <f>IF(AND(L373&lt;&gt;"Clôturée",F373&lt;&gt;""),TODAY()-F373,"")</f>
        <v/>
      </c>
    </row>
    <row r="374" ht="15" customHeight="1" s="59">
      <c r="C374" s="98">
        <f>IF(B374="","",IFERROR(VLOOKUP(B374,EQUIPEMENTS!A:B,2,0),""))</f>
        <v/>
      </c>
      <c r="F374" s="91" t="n"/>
      <c r="G374" s="91" t="n"/>
      <c r="O374" s="97">
        <f>IF(AND(L374&lt;&gt;"Clôturée",F374&lt;&gt;""),TODAY()-F374,"")</f>
        <v/>
      </c>
    </row>
    <row r="375" ht="15" customHeight="1" s="59">
      <c r="C375" s="98">
        <f>IF(B375="","",IFERROR(VLOOKUP(B375,EQUIPEMENTS!A:B,2,0),""))</f>
        <v/>
      </c>
      <c r="F375" s="91" t="n"/>
      <c r="G375" s="91" t="n"/>
      <c r="O375" s="97">
        <f>IF(AND(L375&lt;&gt;"Clôturée",F375&lt;&gt;""),TODAY()-F375,"")</f>
        <v/>
      </c>
    </row>
    <row r="376" ht="15" customHeight="1" s="59">
      <c r="C376" s="98">
        <f>IF(B376="","",IFERROR(VLOOKUP(B376,EQUIPEMENTS!A:B,2,0),""))</f>
        <v/>
      </c>
      <c r="F376" s="91" t="n"/>
      <c r="G376" s="91" t="n"/>
      <c r="O376" s="97">
        <f>IF(AND(L376&lt;&gt;"Clôturée",F376&lt;&gt;""),TODAY()-F376,"")</f>
        <v/>
      </c>
    </row>
    <row r="377" ht="15" customHeight="1" s="59">
      <c r="C377" s="98">
        <f>IF(B377="","",IFERROR(VLOOKUP(B377,EQUIPEMENTS!A:B,2,0),""))</f>
        <v/>
      </c>
      <c r="F377" s="91" t="n"/>
      <c r="G377" s="91" t="n"/>
      <c r="O377" s="97">
        <f>IF(AND(L377&lt;&gt;"Clôturée",F377&lt;&gt;""),TODAY()-F377,"")</f>
        <v/>
      </c>
    </row>
    <row r="378" ht="15" customHeight="1" s="59">
      <c r="C378" s="98">
        <f>IF(B378="","",IFERROR(VLOOKUP(B378,EQUIPEMENTS!A:B,2,0),""))</f>
        <v/>
      </c>
      <c r="F378" s="91" t="n"/>
      <c r="G378" s="91" t="n"/>
      <c r="O378" s="97">
        <f>IF(AND(L378&lt;&gt;"Clôturée",F378&lt;&gt;""),TODAY()-F378,"")</f>
        <v/>
      </c>
    </row>
    <row r="379" ht="15" customHeight="1" s="59">
      <c r="C379" s="98">
        <f>IF(B379="","",IFERROR(VLOOKUP(B379,EQUIPEMENTS!A:B,2,0),""))</f>
        <v/>
      </c>
      <c r="F379" s="91" t="n"/>
      <c r="G379" s="91" t="n"/>
      <c r="O379" s="97">
        <f>IF(AND(L379&lt;&gt;"Clôturée",F379&lt;&gt;""),TODAY()-F379,"")</f>
        <v/>
      </c>
    </row>
    <row r="380" ht="15" customHeight="1" s="59">
      <c r="C380" s="98">
        <f>IF(B380="","",IFERROR(VLOOKUP(B380,EQUIPEMENTS!A:B,2,0),""))</f>
        <v/>
      </c>
      <c r="F380" s="91" t="n"/>
      <c r="G380" s="91" t="n"/>
      <c r="O380" s="97">
        <f>IF(AND(L380&lt;&gt;"Clôturée",F380&lt;&gt;""),TODAY()-F380,"")</f>
        <v/>
      </c>
    </row>
    <row r="381" ht="15" customHeight="1" s="59">
      <c r="C381" s="98">
        <f>IF(B381="","",IFERROR(VLOOKUP(B381,EQUIPEMENTS!A:B,2,0),""))</f>
        <v/>
      </c>
      <c r="F381" s="91" t="n"/>
      <c r="G381" s="91" t="n"/>
      <c r="O381" s="97">
        <f>IF(AND(L381&lt;&gt;"Clôturée",F381&lt;&gt;""),TODAY()-F381,"")</f>
        <v/>
      </c>
    </row>
    <row r="382" ht="15" customHeight="1" s="59">
      <c r="C382" s="98">
        <f>IF(B382="","",IFERROR(VLOOKUP(B382,EQUIPEMENTS!A:B,2,0),""))</f>
        <v/>
      </c>
      <c r="F382" s="91" t="n"/>
      <c r="G382" s="91" t="n"/>
      <c r="O382" s="97">
        <f>IF(AND(L382&lt;&gt;"Clôturée",F382&lt;&gt;""),TODAY()-F382,"")</f>
        <v/>
      </c>
    </row>
    <row r="383" ht="15" customHeight="1" s="59">
      <c r="C383" s="98">
        <f>IF(B383="","",IFERROR(VLOOKUP(B383,EQUIPEMENTS!A:B,2,0),""))</f>
        <v/>
      </c>
      <c r="F383" s="91" t="n"/>
      <c r="G383" s="91" t="n"/>
      <c r="O383" s="97">
        <f>IF(AND(L383&lt;&gt;"Clôturée",F383&lt;&gt;""),TODAY()-F383,"")</f>
        <v/>
      </c>
    </row>
    <row r="384" ht="15" customHeight="1" s="59">
      <c r="C384" s="98">
        <f>IF(B384="","",IFERROR(VLOOKUP(B384,EQUIPEMENTS!A:B,2,0),""))</f>
        <v/>
      </c>
      <c r="F384" s="91" t="n"/>
      <c r="G384" s="91" t="n"/>
      <c r="O384" s="97">
        <f>IF(AND(L384&lt;&gt;"Clôturée",F384&lt;&gt;""),TODAY()-F384,"")</f>
        <v/>
      </c>
    </row>
    <row r="385" ht="15" customHeight="1" s="59">
      <c r="C385" s="98">
        <f>IF(B385="","",IFERROR(VLOOKUP(B385,EQUIPEMENTS!A:B,2,0),""))</f>
        <v/>
      </c>
      <c r="F385" s="91" t="n"/>
      <c r="G385" s="91" t="n"/>
      <c r="O385" s="97">
        <f>IF(AND(L385&lt;&gt;"Clôturée",F385&lt;&gt;""),TODAY()-F385,"")</f>
        <v/>
      </c>
    </row>
    <row r="386" ht="15" customHeight="1" s="59">
      <c r="C386" s="98">
        <f>IF(B386="","",IFERROR(VLOOKUP(B386,EQUIPEMENTS!A:B,2,0),""))</f>
        <v/>
      </c>
      <c r="F386" s="91" t="n"/>
      <c r="G386" s="91" t="n"/>
      <c r="O386" s="97">
        <f>IF(AND(L386&lt;&gt;"Clôturée",F386&lt;&gt;""),TODAY()-F386,"")</f>
        <v/>
      </c>
    </row>
    <row r="387" ht="15" customHeight="1" s="59">
      <c r="C387" s="98">
        <f>IF(B387="","",IFERROR(VLOOKUP(B387,EQUIPEMENTS!A:B,2,0),""))</f>
        <v/>
      </c>
      <c r="F387" s="91" t="n"/>
      <c r="G387" s="91" t="n"/>
      <c r="O387" s="97">
        <f>IF(AND(L387&lt;&gt;"Clôturée",F387&lt;&gt;""),TODAY()-F387,"")</f>
        <v/>
      </c>
    </row>
    <row r="388" ht="15" customHeight="1" s="59">
      <c r="C388" s="98">
        <f>IF(B388="","",IFERROR(VLOOKUP(B388,EQUIPEMENTS!A:B,2,0),""))</f>
        <v/>
      </c>
      <c r="F388" s="91" t="n"/>
      <c r="G388" s="91" t="n"/>
      <c r="O388" s="97">
        <f>IF(AND(L388&lt;&gt;"Clôturée",F388&lt;&gt;""),TODAY()-F388,"")</f>
        <v/>
      </c>
    </row>
    <row r="389" ht="15" customHeight="1" s="59">
      <c r="C389" s="98">
        <f>IF(B389="","",IFERROR(VLOOKUP(B389,EQUIPEMENTS!A:B,2,0),""))</f>
        <v/>
      </c>
      <c r="F389" s="91" t="n"/>
      <c r="G389" s="91" t="n"/>
      <c r="O389" s="97">
        <f>IF(AND(L389&lt;&gt;"Clôturée",F389&lt;&gt;""),TODAY()-F389,"")</f>
        <v/>
      </c>
    </row>
    <row r="390" ht="15" customHeight="1" s="59">
      <c r="C390" s="98">
        <f>IF(B390="","",IFERROR(VLOOKUP(B390,EQUIPEMENTS!A:B,2,0),""))</f>
        <v/>
      </c>
      <c r="F390" s="91" t="n"/>
      <c r="G390" s="91" t="n"/>
      <c r="O390" s="97">
        <f>IF(AND(L390&lt;&gt;"Clôturée",F390&lt;&gt;""),TODAY()-F390,"")</f>
        <v/>
      </c>
    </row>
    <row r="391" ht="15" customHeight="1" s="59">
      <c r="C391" s="98">
        <f>IF(B391="","",IFERROR(VLOOKUP(B391,EQUIPEMENTS!A:B,2,0),""))</f>
        <v/>
      </c>
      <c r="F391" s="91" t="n"/>
      <c r="G391" s="91" t="n"/>
      <c r="O391" s="97">
        <f>IF(AND(L391&lt;&gt;"Clôturée",F391&lt;&gt;""),TODAY()-F391,"")</f>
        <v/>
      </c>
    </row>
    <row r="392" ht="15" customHeight="1" s="59">
      <c r="C392" s="98">
        <f>IF(B392="","",IFERROR(VLOOKUP(B392,EQUIPEMENTS!A:B,2,0),""))</f>
        <v/>
      </c>
      <c r="F392" s="91" t="n"/>
      <c r="G392" s="91" t="n"/>
      <c r="O392" s="97">
        <f>IF(AND(L392&lt;&gt;"Clôturée",F392&lt;&gt;""),TODAY()-F392,"")</f>
        <v/>
      </c>
    </row>
    <row r="393" ht="15" customHeight="1" s="59">
      <c r="C393" s="98">
        <f>IF(B393="","",IFERROR(VLOOKUP(B393,EQUIPEMENTS!A:B,2,0),""))</f>
        <v/>
      </c>
      <c r="F393" s="91" t="n"/>
      <c r="G393" s="91" t="n"/>
      <c r="O393" s="97">
        <f>IF(AND(L393&lt;&gt;"Clôturée",F393&lt;&gt;""),TODAY()-F393,"")</f>
        <v/>
      </c>
    </row>
    <row r="394" ht="15" customHeight="1" s="59">
      <c r="C394" s="98">
        <f>IF(B394="","",IFERROR(VLOOKUP(B394,EQUIPEMENTS!A:B,2,0),""))</f>
        <v/>
      </c>
      <c r="F394" s="91" t="n"/>
      <c r="G394" s="91" t="n"/>
      <c r="O394" s="97">
        <f>IF(AND(L394&lt;&gt;"Clôturée",F394&lt;&gt;""),TODAY()-F394,"")</f>
        <v/>
      </c>
    </row>
    <row r="395" ht="15" customHeight="1" s="59">
      <c r="C395" s="98">
        <f>IF(B395="","",IFERROR(VLOOKUP(B395,EQUIPEMENTS!A:B,2,0),""))</f>
        <v/>
      </c>
      <c r="F395" s="91" t="n"/>
      <c r="G395" s="91" t="n"/>
      <c r="O395" s="97">
        <f>IF(AND(L395&lt;&gt;"Clôturée",F395&lt;&gt;""),TODAY()-F395,"")</f>
        <v/>
      </c>
    </row>
    <row r="396" ht="15" customHeight="1" s="59">
      <c r="C396" s="98">
        <f>IF(B396="","",IFERROR(VLOOKUP(B396,EQUIPEMENTS!A:B,2,0),""))</f>
        <v/>
      </c>
      <c r="F396" s="91" t="n"/>
      <c r="G396" s="91" t="n"/>
      <c r="O396" s="97">
        <f>IF(AND(L396&lt;&gt;"Clôturée",F396&lt;&gt;""),TODAY()-F396,"")</f>
        <v/>
      </c>
    </row>
    <row r="397" ht="15" customHeight="1" s="59">
      <c r="C397" s="98">
        <f>IF(B397="","",IFERROR(VLOOKUP(B397,EQUIPEMENTS!A:B,2,0),""))</f>
        <v/>
      </c>
      <c r="F397" s="91" t="n"/>
      <c r="G397" s="91" t="n"/>
      <c r="O397" s="97">
        <f>IF(AND(L397&lt;&gt;"Clôturée",F397&lt;&gt;""),TODAY()-F397,"")</f>
        <v/>
      </c>
    </row>
    <row r="398" ht="15" customHeight="1" s="59">
      <c r="C398" s="98">
        <f>IF(B398="","",IFERROR(VLOOKUP(B398,EQUIPEMENTS!A:B,2,0),""))</f>
        <v/>
      </c>
      <c r="F398" s="91" t="n"/>
      <c r="G398" s="91" t="n"/>
      <c r="O398" s="97">
        <f>IF(AND(L398&lt;&gt;"Clôturée",F398&lt;&gt;""),TODAY()-F398,"")</f>
        <v/>
      </c>
    </row>
    <row r="399" ht="15" customHeight="1" s="59">
      <c r="C399" s="98">
        <f>IF(B399="","",IFERROR(VLOOKUP(B399,EQUIPEMENTS!A:B,2,0),""))</f>
        <v/>
      </c>
      <c r="F399" s="91" t="n"/>
      <c r="G399" s="91" t="n"/>
      <c r="O399" s="97">
        <f>IF(AND(L399&lt;&gt;"Clôturée",F399&lt;&gt;""),TODAY()-F399,"")</f>
        <v/>
      </c>
    </row>
    <row r="400" ht="15" customHeight="1" s="59">
      <c r="C400" s="98">
        <f>IF(B400="","",IFERROR(VLOOKUP(B400,EQUIPEMENTS!A:B,2,0),""))</f>
        <v/>
      </c>
      <c r="F400" s="91" t="n"/>
      <c r="G400" s="91" t="n"/>
      <c r="O400" s="97">
        <f>IF(AND(L400&lt;&gt;"Clôturée",F400&lt;&gt;""),TODAY()-F400,"")</f>
        <v/>
      </c>
    </row>
    <row r="401" ht="15" customHeight="1" s="59">
      <c r="C401" s="98">
        <f>IF(B401="","",IFERROR(VLOOKUP(B401,EQUIPEMENTS!A:B,2,0),""))</f>
        <v/>
      </c>
      <c r="F401" s="91" t="n"/>
      <c r="G401" s="91" t="n"/>
      <c r="O401" s="97">
        <f>IF(AND(L401&lt;&gt;"Clôturée",F401&lt;&gt;""),TODAY()-F401,"")</f>
        <v/>
      </c>
    </row>
    <row r="402" ht="15" customHeight="1" s="59">
      <c r="C402" s="98">
        <f>IF(B402="","",IFERROR(VLOOKUP(B402,EQUIPEMENTS!A:B,2,0),""))</f>
        <v/>
      </c>
      <c r="F402" s="91" t="n"/>
      <c r="G402" s="91" t="n"/>
      <c r="O402" s="97">
        <f>IF(AND(L402&lt;&gt;"Clôturée",F402&lt;&gt;""),TODAY()-F402,"")</f>
        <v/>
      </c>
    </row>
    <row r="403" ht="15" customHeight="1" s="59">
      <c r="C403" s="98">
        <f>IF(B403="","",IFERROR(VLOOKUP(B403,EQUIPEMENTS!A:B,2,0),""))</f>
        <v/>
      </c>
      <c r="F403" s="91" t="n"/>
      <c r="G403" s="91" t="n"/>
      <c r="O403" s="97">
        <f>IF(AND(L403&lt;&gt;"Clôturée",F403&lt;&gt;""),TODAY()-F403,"")</f>
        <v/>
      </c>
    </row>
    <row r="404" ht="15" customHeight="1" s="59">
      <c r="C404" s="98">
        <f>IF(B404="","",IFERROR(VLOOKUP(B404,EQUIPEMENTS!A:B,2,0),""))</f>
        <v/>
      </c>
      <c r="F404" s="91" t="n"/>
      <c r="G404" s="91" t="n"/>
      <c r="O404" s="97">
        <f>IF(AND(L404&lt;&gt;"Clôturée",F404&lt;&gt;""),TODAY()-F404,"")</f>
        <v/>
      </c>
    </row>
    <row r="405" ht="15" customHeight="1" s="59">
      <c r="C405" s="98">
        <f>IF(B405="","",IFERROR(VLOOKUP(B405,EQUIPEMENTS!A:B,2,0),""))</f>
        <v/>
      </c>
      <c r="F405" s="91" t="n"/>
      <c r="G405" s="91" t="n"/>
      <c r="O405" s="97">
        <f>IF(AND(L405&lt;&gt;"Clôturée",F405&lt;&gt;""),TODAY()-F405,"")</f>
        <v/>
      </c>
    </row>
    <row r="406" ht="15" customHeight="1" s="59">
      <c r="C406" s="98">
        <f>IF(B406="","",IFERROR(VLOOKUP(B406,EQUIPEMENTS!A:B,2,0),""))</f>
        <v/>
      </c>
      <c r="F406" s="91" t="n"/>
      <c r="G406" s="91" t="n"/>
      <c r="O406" s="97">
        <f>IF(AND(L406&lt;&gt;"Clôturée",F406&lt;&gt;""),TODAY()-F406,"")</f>
        <v/>
      </c>
    </row>
    <row r="407" ht="15" customHeight="1" s="59">
      <c r="C407" s="98">
        <f>IF(B407="","",IFERROR(VLOOKUP(B407,EQUIPEMENTS!A:B,2,0),""))</f>
        <v/>
      </c>
      <c r="F407" s="91" t="n"/>
      <c r="G407" s="91" t="n"/>
      <c r="O407" s="97">
        <f>IF(AND(L407&lt;&gt;"Clôturée",F407&lt;&gt;""),TODAY()-F407,"")</f>
        <v/>
      </c>
    </row>
    <row r="408" ht="15" customHeight="1" s="59">
      <c r="C408" s="98">
        <f>IF(B408="","",IFERROR(VLOOKUP(B408,EQUIPEMENTS!A:B,2,0),""))</f>
        <v/>
      </c>
      <c r="F408" s="91" t="n"/>
      <c r="G408" s="91" t="n"/>
      <c r="O408" s="97">
        <f>IF(AND(L408&lt;&gt;"Clôturée",F408&lt;&gt;""),TODAY()-F408,"")</f>
        <v/>
      </c>
    </row>
    <row r="409" ht="15" customHeight="1" s="59">
      <c r="C409" s="98">
        <f>IF(B409="","",IFERROR(VLOOKUP(B409,EQUIPEMENTS!A:B,2,0),""))</f>
        <v/>
      </c>
      <c r="F409" s="91" t="n"/>
      <c r="G409" s="91" t="n"/>
      <c r="O409" s="97">
        <f>IF(AND(L409&lt;&gt;"Clôturée",F409&lt;&gt;""),TODAY()-F409,"")</f>
        <v/>
      </c>
    </row>
    <row r="410" ht="15" customHeight="1" s="59">
      <c r="C410" s="98">
        <f>IF(B410="","",IFERROR(VLOOKUP(B410,EQUIPEMENTS!A:B,2,0),""))</f>
        <v/>
      </c>
      <c r="F410" s="91" t="n"/>
      <c r="G410" s="91" t="n"/>
      <c r="O410" s="97">
        <f>IF(AND(L410&lt;&gt;"Clôturée",F410&lt;&gt;""),TODAY()-F410,"")</f>
        <v/>
      </c>
    </row>
    <row r="411" ht="15" customHeight="1" s="59">
      <c r="C411" s="98">
        <f>IF(B411="","",IFERROR(VLOOKUP(B411,EQUIPEMENTS!A:B,2,0),""))</f>
        <v/>
      </c>
      <c r="F411" s="91" t="n"/>
      <c r="G411" s="91" t="n"/>
      <c r="O411" s="97">
        <f>IF(AND(L411&lt;&gt;"Clôturée",F411&lt;&gt;""),TODAY()-F411,"")</f>
        <v/>
      </c>
    </row>
    <row r="412" ht="15" customHeight="1" s="59">
      <c r="C412" s="98">
        <f>IF(B412="","",IFERROR(VLOOKUP(B412,EQUIPEMENTS!A:B,2,0),""))</f>
        <v/>
      </c>
      <c r="F412" s="91" t="n"/>
      <c r="G412" s="91" t="n"/>
      <c r="O412" s="97">
        <f>IF(AND(L412&lt;&gt;"Clôturée",F412&lt;&gt;""),TODAY()-F412,"")</f>
        <v/>
      </c>
    </row>
    <row r="413" ht="15" customHeight="1" s="59">
      <c r="C413" s="98">
        <f>IF(B413="","",IFERROR(VLOOKUP(B413,EQUIPEMENTS!A:B,2,0),""))</f>
        <v/>
      </c>
      <c r="F413" s="91" t="n"/>
      <c r="G413" s="91" t="n"/>
      <c r="O413" s="97">
        <f>IF(AND(L413&lt;&gt;"Clôturée",F413&lt;&gt;""),TODAY()-F413,"")</f>
        <v/>
      </c>
    </row>
    <row r="414" ht="15" customHeight="1" s="59">
      <c r="C414" s="98">
        <f>IF(B414="","",IFERROR(VLOOKUP(B414,EQUIPEMENTS!A:B,2,0),""))</f>
        <v/>
      </c>
      <c r="F414" s="91" t="n"/>
      <c r="G414" s="91" t="n"/>
      <c r="O414" s="97">
        <f>IF(AND(L414&lt;&gt;"Clôturée",F414&lt;&gt;""),TODAY()-F414,"")</f>
        <v/>
      </c>
    </row>
    <row r="415" ht="15" customHeight="1" s="59">
      <c r="C415" s="98">
        <f>IF(B415="","",IFERROR(VLOOKUP(B415,EQUIPEMENTS!A:B,2,0),""))</f>
        <v/>
      </c>
      <c r="F415" s="91" t="n"/>
      <c r="G415" s="91" t="n"/>
      <c r="O415" s="97">
        <f>IF(AND(L415&lt;&gt;"Clôturée",F415&lt;&gt;""),TODAY()-F415,"")</f>
        <v/>
      </c>
    </row>
    <row r="416" ht="15" customHeight="1" s="59">
      <c r="C416" s="98">
        <f>IF(B416="","",IFERROR(VLOOKUP(B416,EQUIPEMENTS!A:B,2,0),""))</f>
        <v/>
      </c>
      <c r="F416" s="91" t="n"/>
      <c r="G416" s="91" t="n"/>
      <c r="O416" s="97">
        <f>IF(AND(L416&lt;&gt;"Clôturée",F416&lt;&gt;""),TODAY()-F416,"")</f>
        <v/>
      </c>
    </row>
    <row r="417" ht="15" customHeight="1" s="59">
      <c r="C417" s="98">
        <f>IF(B417="","",IFERROR(VLOOKUP(B417,EQUIPEMENTS!A:B,2,0),""))</f>
        <v/>
      </c>
      <c r="F417" s="91" t="n"/>
      <c r="G417" s="91" t="n"/>
      <c r="O417" s="97">
        <f>IF(AND(L417&lt;&gt;"Clôturée",F417&lt;&gt;""),TODAY()-F417,"")</f>
        <v/>
      </c>
    </row>
    <row r="418" ht="15" customHeight="1" s="59">
      <c r="C418" s="98">
        <f>IF(B418="","",IFERROR(VLOOKUP(B418,EQUIPEMENTS!A:B,2,0),""))</f>
        <v/>
      </c>
      <c r="F418" s="91" t="n"/>
      <c r="G418" s="91" t="n"/>
      <c r="O418" s="97">
        <f>IF(AND(L418&lt;&gt;"Clôturée",F418&lt;&gt;""),TODAY()-F418,"")</f>
        <v/>
      </c>
    </row>
    <row r="419" ht="15" customHeight="1" s="59">
      <c r="C419" s="98">
        <f>IF(B419="","",IFERROR(VLOOKUP(B419,EQUIPEMENTS!A:B,2,0),""))</f>
        <v/>
      </c>
      <c r="F419" s="91" t="n"/>
      <c r="G419" s="91" t="n"/>
      <c r="O419" s="97">
        <f>IF(AND(L419&lt;&gt;"Clôturée",F419&lt;&gt;""),TODAY()-F419,"")</f>
        <v/>
      </c>
    </row>
    <row r="420" ht="15" customHeight="1" s="59">
      <c r="C420" s="98">
        <f>IF(B420="","",IFERROR(VLOOKUP(B420,EQUIPEMENTS!A:B,2,0),""))</f>
        <v/>
      </c>
      <c r="F420" s="91" t="n"/>
      <c r="G420" s="91" t="n"/>
      <c r="O420" s="97">
        <f>IF(AND(L420&lt;&gt;"Clôturée",F420&lt;&gt;""),TODAY()-F420,"")</f>
        <v/>
      </c>
    </row>
    <row r="421" ht="15" customHeight="1" s="59">
      <c r="C421" s="98">
        <f>IF(B421="","",IFERROR(VLOOKUP(B421,EQUIPEMENTS!A:B,2,0),""))</f>
        <v/>
      </c>
      <c r="F421" s="91" t="n"/>
      <c r="G421" s="91" t="n"/>
      <c r="O421" s="97">
        <f>IF(AND(L421&lt;&gt;"Clôturée",F421&lt;&gt;""),TODAY()-F421,"")</f>
        <v/>
      </c>
    </row>
    <row r="422" ht="15" customHeight="1" s="59">
      <c r="C422" s="98">
        <f>IF(B422="","",IFERROR(VLOOKUP(B422,EQUIPEMENTS!A:B,2,0),""))</f>
        <v/>
      </c>
      <c r="F422" s="91" t="n"/>
      <c r="G422" s="91" t="n"/>
      <c r="O422" s="97">
        <f>IF(AND(L422&lt;&gt;"Clôturée",F422&lt;&gt;""),TODAY()-F422,"")</f>
        <v/>
      </c>
    </row>
    <row r="423" ht="15" customHeight="1" s="59">
      <c r="C423" s="98">
        <f>IF(B423="","",IFERROR(VLOOKUP(B423,EQUIPEMENTS!A:B,2,0),""))</f>
        <v/>
      </c>
      <c r="F423" s="91" t="n"/>
      <c r="G423" s="91" t="n"/>
      <c r="O423" s="97">
        <f>IF(AND(L423&lt;&gt;"Clôturée",F423&lt;&gt;""),TODAY()-F423,"")</f>
        <v/>
      </c>
    </row>
    <row r="424" ht="15" customHeight="1" s="59">
      <c r="C424" s="98">
        <f>IF(B424="","",IFERROR(VLOOKUP(B424,EQUIPEMENTS!A:B,2,0),""))</f>
        <v/>
      </c>
      <c r="F424" s="91" t="n"/>
      <c r="G424" s="91" t="n"/>
      <c r="O424" s="97">
        <f>IF(AND(L424&lt;&gt;"Clôturée",F424&lt;&gt;""),TODAY()-F424,"")</f>
        <v/>
      </c>
    </row>
    <row r="425" ht="15" customHeight="1" s="59">
      <c r="C425" s="98">
        <f>IF(B425="","",IFERROR(VLOOKUP(B425,EQUIPEMENTS!A:B,2,0),""))</f>
        <v/>
      </c>
      <c r="F425" s="91" t="n"/>
      <c r="G425" s="91" t="n"/>
      <c r="O425" s="97">
        <f>IF(AND(L425&lt;&gt;"Clôturée",F425&lt;&gt;""),TODAY()-F425,"")</f>
        <v/>
      </c>
    </row>
    <row r="426" ht="15" customHeight="1" s="59">
      <c r="C426" s="98">
        <f>IF(B426="","",IFERROR(VLOOKUP(B426,EQUIPEMENTS!A:B,2,0),""))</f>
        <v/>
      </c>
      <c r="F426" s="91" t="n"/>
      <c r="G426" s="91" t="n"/>
      <c r="O426" s="97">
        <f>IF(AND(L426&lt;&gt;"Clôturée",F426&lt;&gt;""),TODAY()-F426,"")</f>
        <v/>
      </c>
    </row>
    <row r="427" ht="15" customHeight="1" s="59">
      <c r="C427" s="98">
        <f>IF(B427="","",IFERROR(VLOOKUP(B427,EQUIPEMENTS!A:B,2,0),""))</f>
        <v/>
      </c>
      <c r="F427" s="91" t="n"/>
      <c r="G427" s="91" t="n"/>
      <c r="O427" s="97">
        <f>IF(AND(L427&lt;&gt;"Clôturée",F427&lt;&gt;""),TODAY()-F427,"")</f>
        <v/>
      </c>
    </row>
    <row r="428" ht="15" customHeight="1" s="59">
      <c r="C428" s="98">
        <f>IF(B428="","",IFERROR(VLOOKUP(B428,EQUIPEMENTS!A:B,2,0),""))</f>
        <v/>
      </c>
      <c r="F428" s="91" t="n"/>
      <c r="G428" s="91" t="n"/>
      <c r="O428" s="97">
        <f>IF(AND(L428&lt;&gt;"Clôturée",F428&lt;&gt;""),TODAY()-F428,"")</f>
        <v/>
      </c>
    </row>
    <row r="429" ht="15" customHeight="1" s="59">
      <c r="C429" s="98">
        <f>IF(B429="","",IFERROR(VLOOKUP(B429,EQUIPEMENTS!A:B,2,0),""))</f>
        <v/>
      </c>
      <c r="F429" s="91" t="n"/>
      <c r="G429" s="91" t="n"/>
      <c r="O429" s="97">
        <f>IF(AND(L429&lt;&gt;"Clôturée",F429&lt;&gt;""),TODAY()-F429,"")</f>
        <v/>
      </c>
    </row>
    <row r="430" ht="15" customHeight="1" s="59">
      <c r="C430" s="98">
        <f>IF(B430="","",IFERROR(VLOOKUP(B430,EQUIPEMENTS!A:B,2,0),""))</f>
        <v/>
      </c>
      <c r="F430" s="91" t="n"/>
      <c r="G430" s="91" t="n"/>
      <c r="O430" s="97">
        <f>IF(AND(L430&lt;&gt;"Clôturée",F430&lt;&gt;""),TODAY()-F430,"")</f>
        <v/>
      </c>
    </row>
    <row r="431" ht="15" customHeight="1" s="59">
      <c r="C431" s="98">
        <f>IF(B431="","",IFERROR(VLOOKUP(B431,EQUIPEMENTS!A:B,2,0),""))</f>
        <v/>
      </c>
      <c r="F431" s="91" t="n"/>
      <c r="G431" s="91" t="n"/>
      <c r="O431" s="97">
        <f>IF(AND(L431&lt;&gt;"Clôturée",F431&lt;&gt;""),TODAY()-F431,"")</f>
        <v/>
      </c>
    </row>
    <row r="432" ht="15" customHeight="1" s="59">
      <c r="C432" s="98">
        <f>IF(B432="","",IFERROR(VLOOKUP(B432,EQUIPEMENTS!A:B,2,0),""))</f>
        <v/>
      </c>
      <c r="F432" s="91" t="n"/>
      <c r="G432" s="91" t="n"/>
      <c r="O432" s="97">
        <f>IF(AND(L432&lt;&gt;"Clôturée",F432&lt;&gt;""),TODAY()-F432,"")</f>
        <v/>
      </c>
    </row>
    <row r="433" ht="15" customHeight="1" s="59">
      <c r="C433" s="98">
        <f>IF(B433="","",IFERROR(VLOOKUP(B433,EQUIPEMENTS!A:B,2,0),""))</f>
        <v/>
      </c>
      <c r="F433" s="91" t="n"/>
      <c r="G433" s="91" t="n"/>
      <c r="O433" s="97">
        <f>IF(AND(L433&lt;&gt;"Clôturée",F433&lt;&gt;""),TODAY()-F433,"")</f>
        <v/>
      </c>
    </row>
    <row r="434" ht="15" customHeight="1" s="59">
      <c r="C434" s="98">
        <f>IF(B434="","",IFERROR(VLOOKUP(B434,EQUIPEMENTS!A:B,2,0),""))</f>
        <v/>
      </c>
      <c r="F434" s="91" t="n"/>
      <c r="G434" s="91" t="n"/>
      <c r="O434" s="97">
        <f>IF(AND(L434&lt;&gt;"Clôturée",F434&lt;&gt;""),TODAY()-F434,"")</f>
        <v/>
      </c>
    </row>
    <row r="435" ht="15" customHeight="1" s="59">
      <c r="C435" s="98">
        <f>IF(B435="","",IFERROR(VLOOKUP(B435,EQUIPEMENTS!A:B,2,0),""))</f>
        <v/>
      </c>
      <c r="F435" s="91" t="n"/>
      <c r="G435" s="91" t="n"/>
      <c r="O435" s="97">
        <f>IF(AND(L435&lt;&gt;"Clôturée",F435&lt;&gt;""),TODAY()-F435,"")</f>
        <v/>
      </c>
    </row>
    <row r="436" ht="15" customHeight="1" s="59">
      <c r="C436" s="98">
        <f>IF(B436="","",IFERROR(VLOOKUP(B436,EQUIPEMENTS!A:B,2,0),""))</f>
        <v/>
      </c>
      <c r="F436" s="91" t="n"/>
      <c r="G436" s="91" t="n"/>
      <c r="O436" s="97">
        <f>IF(AND(L436&lt;&gt;"Clôturée",F436&lt;&gt;""),TODAY()-F436,"")</f>
        <v/>
      </c>
    </row>
    <row r="437" ht="15" customHeight="1" s="59">
      <c r="C437" s="98">
        <f>IF(B437="","",IFERROR(VLOOKUP(B437,EQUIPEMENTS!A:B,2,0),""))</f>
        <v/>
      </c>
      <c r="F437" s="91" t="n"/>
      <c r="G437" s="91" t="n"/>
      <c r="O437" s="97">
        <f>IF(AND(L437&lt;&gt;"Clôturée",F437&lt;&gt;""),TODAY()-F437,"")</f>
        <v/>
      </c>
    </row>
    <row r="438" ht="15" customHeight="1" s="59">
      <c r="C438" s="98">
        <f>IF(B438="","",IFERROR(VLOOKUP(B438,EQUIPEMENTS!A:B,2,0),""))</f>
        <v/>
      </c>
      <c r="F438" s="91" t="n"/>
      <c r="G438" s="91" t="n"/>
      <c r="O438" s="97">
        <f>IF(AND(L438&lt;&gt;"Clôturée",F438&lt;&gt;""),TODAY()-F438,"")</f>
        <v/>
      </c>
    </row>
    <row r="439" ht="15" customHeight="1" s="59">
      <c r="C439" s="98">
        <f>IF(B439="","",IFERROR(VLOOKUP(B439,EQUIPEMENTS!A:B,2,0),""))</f>
        <v/>
      </c>
      <c r="F439" s="91" t="n"/>
      <c r="G439" s="91" t="n"/>
      <c r="O439" s="97">
        <f>IF(AND(L439&lt;&gt;"Clôturée",F439&lt;&gt;""),TODAY()-F439,"")</f>
        <v/>
      </c>
    </row>
    <row r="440" ht="15" customHeight="1" s="59">
      <c r="C440" s="98">
        <f>IF(B440="","",IFERROR(VLOOKUP(B440,EQUIPEMENTS!A:B,2,0),""))</f>
        <v/>
      </c>
      <c r="F440" s="91" t="n"/>
      <c r="G440" s="91" t="n"/>
      <c r="O440" s="97">
        <f>IF(AND(L440&lt;&gt;"Clôturée",F440&lt;&gt;""),TODAY()-F440,"")</f>
        <v/>
      </c>
    </row>
    <row r="441" ht="15" customHeight="1" s="59">
      <c r="C441" s="98">
        <f>IF(B441="","",IFERROR(VLOOKUP(B441,EQUIPEMENTS!A:B,2,0),""))</f>
        <v/>
      </c>
      <c r="F441" s="91" t="n"/>
      <c r="G441" s="91" t="n"/>
      <c r="O441" s="97">
        <f>IF(AND(L441&lt;&gt;"Clôturée",F441&lt;&gt;""),TODAY()-F441,"")</f>
        <v/>
      </c>
    </row>
    <row r="442" ht="15" customHeight="1" s="59">
      <c r="C442" s="98">
        <f>IF(B442="","",IFERROR(VLOOKUP(B442,EQUIPEMENTS!A:B,2,0),""))</f>
        <v/>
      </c>
      <c r="F442" s="91" t="n"/>
      <c r="G442" s="91" t="n"/>
      <c r="O442" s="97">
        <f>IF(AND(L442&lt;&gt;"Clôturée",F442&lt;&gt;""),TODAY()-F442,"")</f>
        <v/>
      </c>
    </row>
    <row r="443" ht="15" customHeight="1" s="59">
      <c r="C443" s="98">
        <f>IF(B443="","",IFERROR(VLOOKUP(B443,EQUIPEMENTS!A:B,2,0),""))</f>
        <v/>
      </c>
      <c r="F443" s="91" t="n"/>
      <c r="G443" s="91" t="n"/>
      <c r="O443" s="97">
        <f>IF(AND(L443&lt;&gt;"Clôturée",F443&lt;&gt;""),TODAY()-F443,"")</f>
        <v/>
      </c>
    </row>
    <row r="444" ht="15" customHeight="1" s="59">
      <c r="C444" s="98">
        <f>IF(B444="","",IFERROR(VLOOKUP(B444,EQUIPEMENTS!A:B,2,0),""))</f>
        <v/>
      </c>
      <c r="F444" s="91" t="n"/>
      <c r="G444" s="91" t="n"/>
      <c r="O444" s="97">
        <f>IF(AND(L444&lt;&gt;"Clôturée",F444&lt;&gt;""),TODAY()-F444,"")</f>
        <v/>
      </c>
    </row>
    <row r="445" ht="15" customHeight="1" s="59">
      <c r="C445" s="98">
        <f>IF(B445="","",IFERROR(VLOOKUP(B445,EQUIPEMENTS!A:B,2,0),""))</f>
        <v/>
      </c>
      <c r="F445" s="91" t="n"/>
      <c r="G445" s="91" t="n"/>
      <c r="O445" s="97">
        <f>IF(AND(L445&lt;&gt;"Clôturée",F445&lt;&gt;""),TODAY()-F445,"")</f>
        <v/>
      </c>
    </row>
    <row r="446" ht="15" customHeight="1" s="59">
      <c r="C446" s="98">
        <f>IF(B446="","",IFERROR(VLOOKUP(B446,EQUIPEMENTS!A:B,2,0),""))</f>
        <v/>
      </c>
      <c r="F446" s="91" t="n"/>
      <c r="G446" s="91" t="n"/>
      <c r="O446" s="97">
        <f>IF(AND(L446&lt;&gt;"Clôturée",F446&lt;&gt;""),TODAY()-F446,"")</f>
        <v/>
      </c>
    </row>
    <row r="447" ht="15" customHeight="1" s="59">
      <c r="C447" s="98">
        <f>IF(B447="","",IFERROR(VLOOKUP(B447,EQUIPEMENTS!A:B,2,0),""))</f>
        <v/>
      </c>
      <c r="F447" s="91" t="n"/>
      <c r="G447" s="91" t="n"/>
      <c r="O447" s="97">
        <f>IF(AND(L447&lt;&gt;"Clôturée",F447&lt;&gt;""),TODAY()-F447,"")</f>
        <v/>
      </c>
    </row>
    <row r="448" ht="15" customHeight="1" s="59">
      <c r="C448" s="98">
        <f>IF(B448="","",IFERROR(VLOOKUP(B448,EQUIPEMENTS!A:B,2,0),""))</f>
        <v/>
      </c>
      <c r="F448" s="91" t="n"/>
      <c r="G448" s="91" t="n"/>
      <c r="O448" s="97">
        <f>IF(AND(L448&lt;&gt;"Clôturée",F448&lt;&gt;""),TODAY()-F448,"")</f>
        <v/>
      </c>
    </row>
    <row r="449" ht="15" customHeight="1" s="59">
      <c r="C449" s="98">
        <f>IF(B449="","",IFERROR(VLOOKUP(B449,EQUIPEMENTS!A:B,2,0),""))</f>
        <v/>
      </c>
      <c r="F449" s="91" t="n"/>
      <c r="G449" s="91" t="n"/>
      <c r="O449" s="97">
        <f>IF(AND(L449&lt;&gt;"Clôturée",F449&lt;&gt;""),TODAY()-F449,"")</f>
        <v/>
      </c>
    </row>
    <row r="450" ht="15" customHeight="1" s="59">
      <c r="C450" s="98">
        <f>IF(B450="","",IFERROR(VLOOKUP(B450,EQUIPEMENTS!A:B,2,0),""))</f>
        <v/>
      </c>
      <c r="F450" s="91" t="n"/>
      <c r="G450" s="91" t="n"/>
      <c r="O450" s="97">
        <f>IF(AND(L450&lt;&gt;"Clôturée",F450&lt;&gt;""),TODAY()-F450,"")</f>
        <v/>
      </c>
    </row>
    <row r="451" ht="15" customHeight="1" s="59">
      <c r="C451" s="98">
        <f>IF(B451="","",IFERROR(VLOOKUP(B451,EQUIPEMENTS!A:B,2,0),""))</f>
        <v/>
      </c>
      <c r="F451" s="91" t="n"/>
      <c r="G451" s="91" t="n"/>
      <c r="O451" s="97">
        <f>IF(AND(L451&lt;&gt;"Clôturée",F451&lt;&gt;""),TODAY()-F451,"")</f>
        <v/>
      </c>
    </row>
    <row r="452" ht="15" customHeight="1" s="59">
      <c r="C452" s="98">
        <f>IF(B452="","",IFERROR(VLOOKUP(B452,EQUIPEMENTS!A:B,2,0),""))</f>
        <v/>
      </c>
      <c r="F452" s="91" t="n"/>
      <c r="G452" s="91" t="n"/>
      <c r="O452" s="97">
        <f>IF(AND(L452&lt;&gt;"Clôturée",F452&lt;&gt;""),TODAY()-F452,"")</f>
        <v/>
      </c>
    </row>
    <row r="453" ht="15" customHeight="1" s="59">
      <c r="C453" s="98">
        <f>IF(B453="","",IFERROR(VLOOKUP(B453,EQUIPEMENTS!A:B,2,0),""))</f>
        <v/>
      </c>
      <c r="F453" s="91" t="n"/>
      <c r="G453" s="91" t="n"/>
      <c r="O453" s="97">
        <f>IF(AND(L453&lt;&gt;"Clôturée",F453&lt;&gt;""),TODAY()-F453,"")</f>
        <v/>
      </c>
    </row>
    <row r="454" ht="15" customHeight="1" s="59">
      <c r="C454" s="98">
        <f>IF(B454="","",IFERROR(VLOOKUP(B454,EQUIPEMENTS!A:B,2,0),""))</f>
        <v/>
      </c>
      <c r="F454" s="91" t="n"/>
      <c r="G454" s="91" t="n"/>
      <c r="O454" s="97">
        <f>IF(AND(L454&lt;&gt;"Clôturée",F454&lt;&gt;""),TODAY()-F454,"")</f>
        <v/>
      </c>
    </row>
    <row r="455" ht="15" customHeight="1" s="59">
      <c r="C455" s="98">
        <f>IF(B455="","",IFERROR(VLOOKUP(B455,EQUIPEMENTS!A:B,2,0),""))</f>
        <v/>
      </c>
      <c r="F455" s="91" t="n"/>
      <c r="G455" s="91" t="n"/>
      <c r="O455" s="97">
        <f>IF(AND(L455&lt;&gt;"Clôturée",F455&lt;&gt;""),TODAY()-F455,"")</f>
        <v/>
      </c>
    </row>
    <row r="456" ht="15" customHeight="1" s="59">
      <c r="C456" s="98">
        <f>IF(B456="","",IFERROR(VLOOKUP(B456,EQUIPEMENTS!A:B,2,0),""))</f>
        <v/>
      </c>
      <c r="F456" s="91" t="n"/>
      <c r="G456" s="91" t="n"/>
      <c r="O456" s="97">
        <f>IF(AND(L456&lt;&gt;"Clôturée",F456&lt;&gt;""),TODAY()-F456,"")</f>
        <v/>
      </c>
    </row>
    <row r="457" ht="15" customHeight="1" s="59">
      <c r="C457" s="98">
        <f>IF(B457="","",IFERROR(VLOOKUP(B457,EQUIPEMENTS!A:B,2,0),""))</f>
        <v/>
      </c>
      <c r="F457" s="91" t="n"/>
      <c r="G457" s="91" t="n"/>
      <c r="O457" s="97">
        <f>IF(AND(L457&lt;&gt;"Clôturée",F457&lt;&gt;""),TODAY()-F457,"")</f>
        <v/>
      </c>
    </row>
    <row r="458" ht="15" customHeight="1" s="59">
      <c r="C458" s="98">
        <f>IF(B458="","",IFERROR(VLOOKUP(B458,EQUIPEMENTS!A:B,2,0),""))</f>
        <v/>
      </c>
      <c r="F458" s="91" t="n"/>
      <c r="G458" s="91" t="n"/>
      <c r="O458" s="97">
        <f>IF(AND(L458&lt;&gt;"Clôturée",F458&lt;&gt;""),TODAY()-F458,"")</f>
        <v/>
      </c>
    </row>
    <row r="459" ht="15" customHeight="1" s="59">
      <c r="C459" s="98">
        <f>IF(B459="","",IFERROR(VLOOKUP(B459,EQUIPEMENTS!A:B,2,0),""))</f>
        <v/>
      </c>
      <c r="F459" s="91" t="n"/>
      <c r="G459" s="91" t="n"/>
      <c r="O459" s="97">
        <f>IF(AND(L459&lt;&gt;"Clôturée",F459&lt;&gt;""),TODAY()-F459,"")</f>
        <v/>
      </c>
    </row>
    <row r="460" ht="15" customHeight="1" s="59">
      <c r="C460" s="98">
        <f>IF(B460="","",IFERROR(VLOOKUP(B460,EQUIPEMENTS!A:B,2,0),""))</f>
        <v/>
      </c>
      <c r="F460" s="91" t="n"/>
      <c r="G460" s="91" t="n"/>
      <c r="O460" s="97">
        <f>IF(AND(L460&lt;&gt;"Clôturée",F460&lt;&gt;""),TODAY()-F460,"")</f>
        <v/>
      </c>
    </row>
    <row r="461" ht="15" customHeight="1" s="59">
      <c r="C461" s="98">
        <f>IF(B461="","",IFERROR(VLOOKUP(B461,EQUIPEMENTS!A:B,2,0),""))</f>
        <v/>
      </c>
      <c r="F461" s="91" t="n"/>
      <c r="G461" s="91" t="n"/>
      <c r="O461" s="97">
        <f>IF(AND(L461&lt;&gt;"Clôturée",F461&lt;&gt;""),TODAY()-F461,"")</f>
        <v/>
      </c>
    </row>
    <row r="462" ht="15" customHeight="1" s="59">
      <c r="C462" s="98">
        <f>IF(B462="","",IFERROR(VLOOKUP(B462,EQUIPEMENTS!A:B,2,0),""))</f>
        <v/>
      </c>
      <c r="F462" s="91" t="n"/>
      <c r="G462" s="91" t="n"/>
      <c r="O462" s="97">
        <f>IF(AND(L462&lt;&gt;"Clôturée",F462&lt;&gt;""),TODAY()-F462,"")</f>
        <v/>
      </c>
    </row>
    <row r="463" ht="15" customHeight="1" s="59">
      <c r="C463" s="98">
        <f>IF(B463="","",IFERROR(VLOOKUP(B463,EQUIPEMENTS!A:B,2,0),""))</f>
        <v/>
      </c>
      <c r="F463" s="91" t="n"/>
      <c r="G463" s="91" t="n"/>
      <c r="O463" s="97">
        <f>IF(AND(L463&lt;&gt;"Clôturée",F463&lt;&gt;""),TODAY()-F463,"")</f>
        <v/>
      </c>
    </row>
    <row r="464" ht="15" customHeight="1" s="59">
      <c r="C464" s="98">
        <f>IF(B464="","",IFERROR(VLOOKUP(B464,EQUIPEMENTS!A:B,2,0),""))</f>
        <v/>
      </c>
      <c r="F464" s="91" t="n"/>
      <c r="G464" s="91" t="n"/>
      <c r="O464" s="97">
        <f>IF(AND(L464&lt;&gt;"Clôturée",F464&lt;&gt;""),TODAY()-F464,"")</f>
        <v/>
      </c>
    </row>
    <row r="465" ht="15" customHeight="1" s="59">
      <c r="C465" s="98">
        <f>IF(B465="","",IFERROR(VLOOKUP(B465,EQUIPEMENTS!A:B,2,0),""))</f>
        <v/>
      </c>
      <c r="F465" s="91" t="n"/>
      <c r="G465" s="91" t="n"/>
      <c r="O465" s="97">
        <f>IF(AND(L465&lt;&gt;"Clôturée",F465&lt;&gt;""),TODAY()-F465,"")</f>
        <v/>
      </c>
    </row>
    <row r="466" ht="15" customHeight="1" s="59">
      <c r="C466" s="98">
        <f>IF(B466="","",IFERROR(VLOOKUP(B466,EQUIPEMENTS!A:B,2,0),""))</f>
        <v/>
      </c>
      <c r="F466" s="91" t="n"/>
      <c r="G466" s="91" t="n"/>
      <c r="O466" s="97">
        <f>IF(AND(L466&lt;&gt;"Clôturée",F466&lt;&gt;""),TODAY()-F466,"")</f>
        <v/>
      </c>
    </row>
    <row r="467" ht="15" customHeight="1" s="59">
      <c r="C467" s="98">
        <f>IF(B467="","",IFERROR(VLOOKUP(B467,EQUIPEMENTS!A:B,2,0),""))</f>
        <v/>
      </c>
      <c r="F467" s="91" t="n"/>
      <c r="G467" s="91" t="n"/>
      <c r="O467" s="97">
        <f>IF(AND(L467&lt;&gt;"Clôturée",F467&lt;&gt;""),TODAY()-F467,"")</f>
        <v/>
      </c>
    </row>
    <row r="468" ht="15" customHeight="1" s="59">
      <c r="C468" s="98">
        <f>IF(B468="","",IFERROR(VLOOKUP(B468,EQUIPEMENTS!A:B,2,0),""))</f>
        <v/>
      </c>
      <c r="F468" s="91" t="n"/>
      <c r="G468" s="91" t="n"/>
      <c r="O468" s="97">
        <f>IF(AND(L468&lt;&gt;"Clôturée",F468&lt;&gt;""),TODAY()-F468,"")</f>
        <v/>
      </c>
    </row>
    <row r="469" ht="15" customHeight="1" s="59">
      <c r="C469" s="98">
        <f>IF(B469="","",IFERROR(VLOOKUP(B469,EQUIPEMENTS!A:B,2,0),""))</f>
        <v/>
      </c>
      <c r="F469" s="91" t="n"/>
      <c r="G469" s="91" t="n"/>
      <c r="O469" s="97">
        <f>IF(AND(L469&lt;&gt;"Clôturée",F469&lt;&gt;""),TODAY()-F469,"")</f>
        <v/>
      </c>
    </row>
    <row r="470" ht="15" customHeight="1" s="59">
      <c r="C470" s="98">
        <f>IF(B470="","",IFERROR(VLOOKUP(B470,EQUIPEMENTS!A:B,2,0),""))</f>
        <v/>
      </c>
      <c r="F470" s="91" t="n"/>
      <c r="G470" s="91" t="n"/>
      <c r="O470" s="97">
        <f>IF(AND(L470&lt;&gt;"Clôturée",F470&lt;&gt;""),TODAY()-F470,"")</f>
        <v/>
      </c>
    </row>
    <row r="471" ht="15" customHeight="1" s="59">
      <c r="C471" s="98">
        <f>IF(B471="","",IFERROR(VLOOKUP(B471,EQUIPEMENTS!A:B,2,0),""))</f>
        <v/>
      </c>
      <c r="F471" s="91" t="n"/>
      <c r="G471" s="91" t="n"/>
      <c r="O471" s="97">
        <f>IF(AND(L471&lt;&gt;"Clôturée",F471&lt;&gt;""),TODAY()-F471,"")</f>
        <v/>
      </c>
    </row>
    <row r="472" ht="15" customHeight="1" s="59">
      <c r="C472" s="98">
        <f>IF(B472="","",IFERROR(VLOOKUP(B472,EQUIPEMENTS!A:B,2,0),""))</f>
        <v/>
      </c>
      <c r="F472" s="91" t="n"/>
      <c r="G472" s="91" t="n"/>
      <c r="O472" s="97">
        <f>IF(AND(L472&lt;&gt;"Clôturée",F472&lt;&gt;""),TODAY()-F472,"")</f>
        <v/>
      </c>
    </row>
    <row r="473" ht="15" customHeight="1" s="59">
      <c r="C473" s="98">
        <f>IF(B473="","",IFERROR(VLOOKUP(B473,EQUIPEMENTS!A:B,2,0),""))</f>
        <v/>
      </c>
      <c r="F473" s="91" t="n"/>
      <c r="G473" s="91" t="n"/>
      <c r="O473" s="97">
        <f>IF(AND(L473&lt;&gt;"Clôturée",F473&lt;&gt;""),TODAY()-F473,"")</f>
        <v/>
      </c>
    </row>
    <row r="474" ht="15" customHeight="1" s="59">
      <c r="C474" s="98">
        <f>IF(B474="","",IFERROR(VLOOKUP(B474,EQUIPEMENTS!A:B,2,0),""))</f>
        <v/>
      </c>
      <c r="F474" s="91" t="n"/>
      <c r="G474" s="91" t="n"/>
      <c r="O474" s="97">
        <f>IF(AND(L474&lt;&gt;"Clôturée",F474&lt;&gt;""),TODAY()-F474,"")</f>
        <v/>
      </c>
    </row>
    <row r="475" ht="15" customHeight="1" s="59">
      <c r="C475" s="98">
        <f>IF(B475="","",IFERROR(VLOOKUP(B475,EQUIPEMENTS!A:B,2,0),""))</f>
        <v/>
      </c>
      <c r="F475" s="91" t="n"/>
      <c r="G475" s="91" t="n"/>
      <c r="O475" s="97">
        <f>IF(AND(L475&lt;&gt;"Clôturée",F475&lt;&gt;""),TODAY()-F475,"")</f>
        <v/>
      </c>
    </row>
    <row r="476" ht="15" customHeight="1" s="59">
      <c r="C476" s="98">
        <f>IF(B476="","",IFERROR(VLOOKUP(B476,EQUIPEMENTS!A:B,2,0),""))</f>
        <v/>
      </c>
      <c r="F476" s="91" t="n"/>
      <c r="G476" s="91" t="n"/>
      <c r="O476" s="97">
        <f>IF(AND(L476&lt;&gt;"Clôturée",F476&lt;&gt;""),TODAY()-F476,"")</f>
        <v/>
      </c>
    </row>
    <row r="477" ht="15" customHeight="1" s="59">
      <c r="C477" s="98">
        <f>IF(B477="","",IFERROR(VLOOKUP(B477,EQUIPEMENTS!A:B,2,0),""))</f>
        <v/>
      </c>
      <c r="F477" s="91" t="n"/>
      <c r="G477" s="91" t="n"/>
      <c r="O477" s="97">
        <f>IF(AND(L477&lt;&gt;"Clôturée",F477&lt;&gt;""),TODAY()-F477,"")</f>
        <v/>
      </c>
    </row>
    <row r="478" ht="15" customHeight="1" s="59">
      <c r="C478" s="98">
        <f>IF(B478="","",IFERROR(VLOOKUP(B478,EQUIPEMENTS!A:B,2,0),""))</f>
        <v/>
      </c>
      <c r="F478" s="91" t="n"/>
      <c r="G478" s="91" t="n"/>
      <c r="O478" s="97">
        <f>IF(AND(L478&lt;&gt;"Clôturée",F478&lt;&gt;""),TODAY()-F478,"")</f>
        <v/>
      </c>
    </row>
    <row r="479" ht="15" customHeight="1" s="59">
      <c r="C479" s="98">
        <f>IF(B479="","",IFERROR(VLOOKUP(B479,EQUIPEMENTS!A:B,2,0),""))</f>
        <v/>
      </c>
      <c r="F479" s="91" t="n"/>
      <c r="G479" s="91" t="n"/>
      <c r="O479" s="97">
        <f>IF(AND(L479&lt;&gt;"Clôturée",F479&lt;&gt;""),TODAY()-F479,"")</f>
        <v/>
      </c>
    </row>
    <row r="480" ht="15" customHeight="1" s="59">
      <c r="C480" s="98">
        <f>IF(B480="","",IFERROR(VLOOKUP(B480,EQUIPEMENTS!A:B,2,0),""))</f>
        <v/>
      </c>
      <c r="F480" s="91" t="n"/>
      <c r="G480" s="91" t="n"/>
      <c r="O480" s="97">
        <f>IF(AND(L480&lt;&gt;"Clôturée",F480&lt;&gt;""),TODAY()-F480,"")</f>
        <v/>
      </c>
    </row>
    <row r="481" ht="15" customHeight="1" s="59">
      <c r="C481" s="98">
        <f>IF(B481="","",IFERROR(VLOOKUP(B481,EQUIPEMENTS!A:B,2,0),""))</f>
        <v/>
      </c>
      <c r="F481" s="91" t="n"/>
      <c r="G481" s="91" t="n"/>
      <c r="O481" s="97">
        <f>IF(AND(L481&lt;&gt;"Clôturée",F481&lt;&gt;""),TODAY()-F481,"")</f>
        <v/>
      </c>
    </row>
    <row r="482" ht="15" customHeight="1" s="59">
      <c r="C482" s="98">
        <f>IF(B482="","",IFERROR(VLOOKUP(B482,EQUIPEMENTS!A:B,2,0),""))</f>
        <v/>
      </c>
      <c r="F482" s="91" t="n"/>
      <c r="G482" s="91" t="n"/>
      <c r="O482" s="97">
        <f>IF(AND(L482&lt;&gt;"Clôturée",F482&lt;&gt;""),TODAY()-F482,"")</f>
        <v/>
      </c>
    </row>
    <row r="483" ht="15" customHeight="1" s="59">
      <c r="C483" s="98">
        <f>IF(B483="","",IFERROR(VLOOKUP(B483,EQUIPEMENTS!A:B,2,0),""))</f>
        <v/>
      </c>
      <c r="F483" s="91" t="n"/>
      <c r="G483" s="91" t="n"/>
      <c r="O483" s="97">
        <f>IF(AND(L483&lt;&gt;"Clôturée",F483&lt;&gt;""),TODAY()-F483,"")</f>
        <v/>
      </c>
    </row>
    <row r="484" ht="15" customHeight="1" s="59">
      <c r="C484" s="98">
        <f>IF(B484="","",IFERROR(VLOOKUP(B484,EQUIPEMENTS!A:B,2,0),""))</f>
        <v/>
      </c>
      <c r="F484" s="91" t="n"/>
      <c r="G484" s="91" t="n"/>
      <c r="O484" s="97">
        <f>IF(AND(L484&lt;&gt;"Clôturée",F484&lt;&gt;""),TODAY()-F484,"")</f>
        <v/>
      </c>
    </row>
    <row r="485" ht="15" customHeight="1" s="59">
      <c r="C485" s="98">
        <f>IF(B485="","",IFERROR(VLOOKUP(B485,EQUIPEMENTS!A:B,2,0),""))</f>
        <v/>
      </c>
      <c r="F485" s="91" t="n"/>
      <c r="G485" s="91" t="n"/>
      <c r="O485" s="97">
        <f>IF(AND(L485&lt;&gt;"Clôturée",F485&lt;&gt;""),TODAY()-F485,"")</f>
        <v/>
      </c>
    </row>
    <row r="486" ht="15" customHeight="1" s="59">
      <c r="C486" s="98">
        <f>IF(B486="","",IFERROR(VLOOKUP(B486,EQUIPEMENTS!A:B,2,0),""))</f>
        <v/>
      </c>
      <c r="F486" s="91" t="n"/>
      <c r="G486" s="91" t="n"/>
      <c r="O486" s="97">
        <f>IF(AND(L486&lt;&gt;"Clôturée",F486&lt;&gt;""),TODAY()-F486,"")</f>
        <v/>
      </c>
    </row>
    <row r="487" ht="15" customHeight="1" s="59">
      <c r="C487" s="98">
        <f>IF(B487="","",IFERROR(VLOOKUP(B487,EQUIPEMENTS!A:B,2,0),""))</f>
        <v/>
      </c>
      <c r="F487" s="91" t="n"/>
      <c r="G487" s="91" t="n"/>
      <c r="O487" s="97">
        <f>IF(AND(L487&lt;&gt;"Clôturée",F487&lt;&gt;""),TODAY()-F487,"")</f>
        <v/>
      </c>
    </row>
    <row r="488" ht="15" customHeight="1" s="59">
      <c r="C488" s="98">
        <f>IF(B488="","",IFERROR(VLOOKUP(B488,EQUIPEMENTS!A:B,2,0),""))</f>
        <v/>
      </c>
      <c r="F488" s="91" t="n"/>
      <c r="G488" s="91" t="n"/>
      <c r="O488" s="97">
        <f>IF(AND(L488&lt;&gt;"Clôturée",F488&lt;&gt;""),TODAY()-F488,"")</f>
        <v/>
      </c>
    </row>
    <row r="489" ht="15" customHeight="1" s="59">
      <c r="C489" s="98">
        <f>IF(B489="","",IFERROR(VLOOKUP(B489,EQUIPEMENTS!A:B,2,0),""))</f>
        <v/>
      </c>
      <c r="F489" s="91" t="n"/>
      <c r="G489" s="91" t="n"/>
      <c r="O489" s="97">
        <f>IF(AND(L489&lt;&gt;"Clôturée",F489&lt;&gt;""),TODAY()-F489,"")</f>
        <v/>
      </c>
    </row>
    <row r="490" ht="15" customHeight="1" s="59">
      <c r="C490" s="98">
        <f>IF(B490="","",IFERROR(VLOOKUP(B490,EQUIPEMENTS!A:B,2,0),""))</f>
        <v/>
      </c>
      <c r="F490" s="91" t="n"/>
      <c r="G490" s="91" t="n"/>
      <c r="O490" s="97">
        <f>IF(AND(L490&lt;&gt;"Clôturée",F490&lt;&gt;""),TODAY()-F490,"")</f>
        <v/>
      </c>
    </row>
    <row r="491" ht="15" customHeight="1" s="59">
      <c r="C491" s="98">
        <f>IF(B491="","",IFERROR(VLOOKUP(B491,EQUIPEMENTS!A:B,2,0),""))</f>
        <v/>
      </c>
      <c r="F491" s="91" t="n"/>
      <c r="G491" s="91" t="n"/>
      <c r="O491" s="97">
        <f>IF(AND(L491&lt;&gt;"Clôturée",F491&lt;&gt;""),TODAY()-F491,"")</f>
        <v/>
      </c>
    </row>
    <row r="492" ht="15" customHeight="1" s="59">
      <c r="C492" s="98">
        <f>IF(B492="","",IFERROR(VLOOKUP(B492,EQUIPEMENTS!A:B,2,0),""))</f>
        <v/>
      </c>
      <c r="F492" s="91" t="n"/>
      <c r="G492" s="91" t="n"/>
      <c r="O492" s="97">
        <f>IF(AND(L492&lt;&gt;"Clôturée",F492&lt;&gt;""),TODAY()-F492,"")</f>
        <v/>
      </c>
    </row>
    <row r="493" ht="15" customHeight="1" s="59">
      <c r="C493" s="98">
        <f>IF(B493="","",IFERROR(VLOOKUP(B493,EQUIPEMENTS!A:B,2,0),""))</f>
        <v/>
      </c>
      <c r="F493" s="91" t="n"/>
      <c r="G493" s="91" t="n"/>
      <c r="O493" s="97">
        <f>IF(AND(L493&lt;&gt;"Clôturée",F493&lt;&gt;""),TODAY()-F493,"")</f>
        <v/>
      </c>
    </row>
    <row r="494" ht="15" customHeight="1" s="59">
      <c r="C494" s="98">
        <f>IF(B494="","",IFERROR(VLOOKUP(B494,EQUIPEMENTS!A:B,2,0),""))</f>
        <v/>
      </c>
      <c r="F494" s="91" t="n"/>
      <c r="G494" s="91" t="n"/>
      <c r="O494" s="97">
        <f>IF(AND(L494&lt;&gt;"Clôturée",F494&lt;&gt;""),TODAY()-F494,"")</f>
        <v/>
      </c>
    </row>
    <row r="495" ht="15" customHeight="1" s="59">
      <c r="C495" s="98">
        <f>IF(B495="","",IFERROR(VLOOKUP(B495,EQUIPEMENTS!A:B,2,0),""))</f>
        <v/>
      </c>
      <c r="F495" s="91" t="n"/>
      <c r="G495" s="91" t="n"/>
      <c r="O495" s="97">
        <f>IF(AND(L495&lt;&gt;"Clôturée",F495&lt;&gt;""),TODAY()-F495,"")</f>
        <v/>
      </c>
    </row>
    <row r="496" ht="15" customHeight="1" s="59">
      <c r="C496" s="98">
        <f>IF(B496="","",IFERROR(VLOOKUP(B496,EQUIPEMENTS!A:B,2,0),""))</f>
        <v/>
      </c>
      <c r="F496" s="91" t="n"/>
      <c r="G496" s="91" t="n"/>
      <c r="O496" s="97">
        <f>IF(AND(L496&lt;&gt;"Clôturée",F496&lt;&gt;""),TODAY()-F496,"")</f>
        <v/>
      </c>
    </row>
    <row r="497" ht="15" customHeight="1" s="59">
      <c r="C497" s="98">
        <f>IF(B497="","",IFERROR(VLOOKUP(B497,EQUIPEMENTS!A:B,2,0),""))</f>
        <v/>
      </c>
      <c r="F497" s="91" t="n"/>
      <c r="G497" s="91" t="n"/>
      <c r="O497" s="97">
        <f>IF(AND(L497&lt;&gt;"Clôturée",F497&lt;&gt;""),TODAY()-F497,"")</f>
        <v/>
      </c>
    </row>
    <row r="498" ht="15" customHeight="1" s="59">
      <c r="C498" s="98">
        <f>IF(B498="","",IFERROR(VLOOKUP(B498,EQUIPEMENTS!A:B,2,0),""))</f>
        <v/>
      </c>
      <c r="F498" s="91" t="n"/>
      <c r="G498" s="91" t="n"/>
      <c r="O498" s="97">
        <f>IF(AND(L498&lt;&gt;"Clôturée",F498&lt;&gt;""),TODAY()-F498,"")</f>
        <v/>
      </c>
    </row>
    <row r="499" ht="15" customHeight="1" s="59">
      <c r="C499" s="98">
        <f>IF(B499="","",IFERROR(VLOOKUP(B499,EQUIPEMENTS!A:B,2,0),""))</f>
        <v/>
      </c>
      <c r="F499" s="91" t="n"/>
      <c r="G499" s="91" t="n"/>
      <c r="O499" s="97">
        <f>IF(AND(L499&lt;&gt;"Clôturée",F499&lt;&gt;""),TODAY()-F499,"")</f>
        <v/>
      </c>
    </row>
    <row r="500" ht="15" customHeight="1" s="59">
      <c r="C500" s="98">
        <f>IF(B500="","",IFERROR(VLOOKUP(B500,EQUIPEMENTS!A:B,2,0),""))</f>
        <v/>
      </c>
      <c r="F500" s="91" t="n"/>
      <c r="G500" s="91" t="n"/>
      <c r="O500" s="97">
        <f>IF(AND(L500&lt;&gt;"Clôturée",F500&lt;&gt;""),TODAY()-F500,"")</f>
        <v/>
      </c>
    </row>
    <row r="501" ht="15" customHeight="1" s="59">
      <c r="C501" s="98">
        <f>IF(B501="","",IFERROR(VLOOKUP(B501,EQUIPEMENTS!A:B,2,0),""))</f>
        <v/>
      </c>
      <c r="F501" s="91" t="n"/>
      <c r="G501" s="91" t="n"/>
      <c r="O501" s="97">
        <f>IF(AND(L501&lt;&gt;"Clôturée",F501&lt;&gt;""),TODAY()-F501,"")</f>
        <v/>
      </c>
    </row>
    <row r="502" ht="15" customHeight="1" s="59">
      <c r="C502" s="98">
        <f>IF(B502="","",IFERROR(VLOOKUP(B502,EQUIPEMENTS!A:B,2,0),""))</f>
        <v/>
      </c>
      <c r="F502" s="91" t="n"/>
      <c r="G502" s="91" t="n"/>
      <c r="O502" s="97">
        <f>IF(AND(L502&lt;&gt;"Clôturée",F502&lt;&gt;""),TODAY()-F502,"")</f>
        <v/>
      </c>
    </row>
    <row r="503" ht="15" customHeight="1" s="59">
      <c r="C503" s="98">
        <f>IF(B503="","",IFERROR(VLOOKUP(B503,EQUIPEMENTS!A:B,2,0),""))</f>
        <v/>
      </c>
      <c r="F503" s="91" t="n"/>
      <c r="G503" s="91" t="n"/>
      <c r="O503" s="97">
        <f>IF(AND(L503&lt;&gt;"Clôturée",F503&lt;&gt;""),TODAY()-F503,"")</f>
        <v/>
      </c>
    </row>
    <row r="504" ht="15" customHeight="1" s="59">
      <c r="C504" s="98">
        <f>IF(B504="","",IFERROR(VLOOKUP(B504,EQUIPEMENTS!A:B,2,0),""))</f>
        <v/>
      </c>
      <c r="F504" s="91" t="n"/>
      <c r="G504" s="91" t="n"/>
      <c r="O504" s="97">
        <f>IF(AND(L504&lt;&gt;"Clôturée",F504&lt;&gt;""),TODAY()-F504,"")</f>
        <v/>
      </c>
    </row>
    <row r="505" ht="15" customHeight="1" s="59">
      <c r="C505" s="98">
        <f>IF(B505="","",IFERROR(VLOOKUP(B505,EQUIPEMENTS!A:B,2,0),""))</f>
        <v/>
      </c>
      <c r="F505" s="91" t="n"/>
      <c r="G505" s="91" t="n"/>
      <c r="O505" s="97">
        <f>IF(AND(L505&lt;&gt;"Clôturée",F505&lt;&gt;""),TODAY()-F505,"")</f>
        <v/>
      </c>
    </row>
    <row r="506" ht="15" customHeight="1" s="59">
      <c r="C506" s="98">
        <f>IF(B506="","",IFERROR(VLOOKUP(B506,EQUIPEMENTS!A:B,2,0),""))</f>
        <v/>
      </c>
      <c r="F506" s="91" t="n"/>
      <c r="G506" s="91" t="n"/>
      <c r="O506" s="97">
        <f>IF(AND(L506&lt;&gt;"Clôturée",F506&lt;&gt;""),TODAY()-F506,"")</f>
        <v/>
      </c>
    </row>
    <row r="507" ht="15" customHeight="1" s="59">
      <c r="C507" s="98">
        <f>IF(B507="","",IFERROR(VLOOKUP(B507,EQUIPEMENTS!A:B,2,0),""))</f>
        <v/>
      </c>
      <c r="F507" s="91" t="n"/>
      <c r="G507" s="91" t="n"/>
      <c r="O507" s="97">
        <f>IF(AND(L507&lt;&gt;"Clôturée",F507&lt;&gt;""),TODAY()-F507,"")</f>
        <v/>
      </c>
    </row>
    <row r="508" ht="15" customHeight="1" s="59">
      <c r="C508" s="98">
        <f>IF(B508="","",IFERROR(VLOOKUP(B508,EQUIPEMENTS!A:B,2,0),""))</f>
        <v/>
      </c>
      <c r="F508" s="91" t="n"/>
      <c r="G508" s="91" t="n"/>
      <c r="O508" s="97">
        <f>IF(AND(L508&lt;&gt;"Clôturée",F508&lt;&gt;""),TODAY()-F508,"")</f>
        <v/>
      </c>
    </row>
    <row r="509" ht="15" customHeight="1" s="59">
      <c r="C509" s="98">
        <f>IF(B509="","",IFERROR(VLOOKUP(B509,EQUIPEMENTS!A:B,2,0),""))</f>
        <v/>
      </c>
      <c r="F509" s="91" t="n"/>
      <c r="G509" s="91" t="n"/>
      <c r="O509" s="97">
        <f>IF(AND(L509&lt;&gt;"Clôturée",F509&lt;&gt;""),TODAY()-F509,"")</f>
        <v/>
      </c>
    </row>
    <row r="510" ht="15" customHeight="1" s="59">
      <c r="C510" s="98">
        <f>IF(B510="","",IFERROR(VLOOKUP(B510,EQUIPEMENTS!A:B,2,0),""))</f>
        <v/>
      </c>
      <c r="F510" s="91" t="n"/>
      <c r="G510" s="91" t="n"/>
      <c r="O510" s="97">
        <f>IF(AND(L510&lt;&gt;"Clôturée",F510&lt;&gt;""),TODAY()-F510,"")</f>
        <v/>
      </c>
    </row>
    <row r="511" ht="15" customHeight="1" s="59">
      <c r="C511" s="98">
        <f>IF(B511="","",IFERROR(VLOOKUP(B511,EQUIPEMENTS!A:B,2,0),""))</f>
        <v/>
      </c>
      <c r="F511" s="91" t="n"/>
      <c r="G511" s="91" t="n"/>
      <c r="O511" s="97">
        <f>IF(AND(L511&lt;&gt;"Clôturée",F511&lt;&gt;""),TODAY()-F511,"")</f>
        <v/>
      </c>
    </row>
    <row r="512" ht="15" customHeight="1" s="59">
      <c r="C512" s="98">
        <f>IF(B512="","",IFERROR(VLOOKUP(B512,EQUIPEMENTS!A:B,2,0),""))</f>
        <v/>
      </c>
      <c r="F512" s="91" t="n"/>
      <c r="G512" s="91" t="n"/>
      <c r="O512" s="97">
        <f>IF(AND(L512&lt;&gt;"Clôturée",F512&lt;&gt;""),TODAY()-F512,"")</f>
        <v/>
      </c>
    </row>
    <row r="513" ht="15" customHeight="1" s="59">
      <c r="C513" s="98">
        <f>IF(B513="","",IFERROR(VLOOKUP(B513,EQUIPEMENTS!A:B,2,0),""))</f>
        <v/>
      </c>
      <c r="F513" s="91" t="n"/>
      <c r="G513" s="91" t="n"/>
      <c r="O513" s="97">
        <f>IF(AND(L513&lt;&gt;"Clôturée",F513&lt;&gt;""),TODAY()-F513,"")</f>
        <v/>
      </c>
    </row>
    <row r="514" ht="15" customHeight="1" s="59">
      <c r="C514" s="98">
        <f>IF(B514="","",IFERROR(VLOOKUP(B514,EQUIPEMENTS!A:B,2,0),""))</f>
        <v/>
      </c>
      <c r="F514" s="91" t="n"/>
      <c r="G514" s="91" t="n"/>
      <c r="O514" s="97">
        <f>IF(AND(L514&lt;&gt;"Clôturée",F514&lt;&gt;""),TODAY()-F514,"")</f>
        <v/>
      </c>
    </row>
    <row r="515" ht="15" customHeight="1" s="59">
      <c r="C515" s="98">
        <f>IF(B515="","",IFERROR(VLOOKUP(B515,EQUIPEMENTS!A:B,2,0),""))</f>
        <v/>
      </c>
      <c r="F515" s="91" t="n"/>
      <c r="G515" s="91" t="n"/>
      <c r="O515" s="97">
        <f>IF(AND(L515&lt;&gt;"Clôturée",F515&lt;&gt;""),TODAY()-F515,"")</f>
        <v/>
      </c>
    </row>
    <row r="516" ht="15" customHeight="1" s="59">
      <c r="C516" s="98">
        <f>IF(B516="","",IFERROR(VLOOKUP(B516,EQUIPEMENTS!A:B,2,0),""))</f>
        <v/>
      </c>
      <c r="F516" s="91" t="n"/>
      <c r="G516" s="91" t="n"/>
      <c r="O516" s="97">
        <f>IF(AND(L516&lt;&gt;"Clôturée",F516&lt;&gt;""),TODAY()-F516,"")</f>
        <v/>
      </c>
    </row>
    <row r="517" ht="15" customHeight="1" s="59">
      <c r="C517" s="98">
        <f>IF(B517="","",IFERROR(VLOOKUP(B517,EQUIPEMENTS!A:B,2,0),""))</f>
        <v/>
      </c>
      <c r="F517" s="91" t="n"/>
      <c r="G517" s="91" t="n"/>
      <c r="O517" s="97">
        <f>IF(AND(L517&lt;&gt;"Clôturée",F517&lt;&gt;""),TODAY()-F517,"")</f>
        <v/>
      </c>
    </row>
    <row r="518" ht="15" customHeight="1" s="59">
      <c r="C518" s="98">
        <f>IF(B518="","",IFERROR(VLOOKUP(B518,EQUIPEMENTS!A:B,2,0),""))</f>
        <v/>
      </c>
      <c r="F518" s="91" t="n"/>
      <c r="G518" s="91" t="n"/>
      <c r="O518" s="97">
        <f>IF(AND(L518&lt;&gt;"Clôturée",F518&lt;&gt;""),TODAY()-F518,"")</f>
        <v/>
      </c>
    </row>
    <row r="519" ht="15" customHeight="1" s="59">
      <c r="C519" s="98">
        <f>IF(B519="","",IFERROR(VLOOKUP(B519,EQUIPEMENTS!A:B,2,0),""))</f>
        <v/>
      </c>
      <c r="F519" s="91" t="n"/>
      <c r="G519" s="91" t="n"/>
      <c r="O519" s="97">
        <f>IF(AND(L519&lt;&gt;"Clôturée",F519&lt;&gt;""),TODAY()-F519,"")</f>
        <v/>
      </c>
    </row>
    <row r="520" ht="15" customHeight="1" s="59">
      <c r="C520" s="98">
        <f>IF(B520="","",IFERROR(VLOOKUP(B520,EQUIPEMENTS!A:B,2,0),""))</f>
        <v/>
      </c>
      <c r="F520" s="91" t="n"/>
      <c r="G520" s="91" t="n"/>
      <c r="O520" s="97">
        <f>IF(AND(L520&lt;&gt;"Clôturée",F520&lt;&gt;""),TODAY()-F520,"")</f>
        <v/>
      </c>
    </row>
    <row r="521" ht="15" customHeight="1" s="59">
      <c r="C521" s="98">
        <f>IF(B521="","",IFERROR(VLOOKUP(B521,EQUIPEMENTS!A:B,2,0),""))</f>
        <v/>
      </c>
      <c r="F521" s="91" t="n"/>
      <c r="G521" s="91" t="n"/>
      <c r="O521" s="97">
        <f>IF(AND(L521&lt;&gt;"Clôturée",F521&lt;&gt;""),TODAY()-F521,"")</f>
        <v/>
      </c>
    </row>
    <row r="522" ht="15" customHeight="1" s="59">
      <c r="C522" s="98">
        <f>IF(B522="","",IFERROR(VLOOKUP(B522,EQUIPEMENTS!A:B,2,0),""))</f>
        <v/>
      </c>
      <c r="F522" s="91" t="n"/>
      <c r="G522" s="91" t="n"/>
      <c r="O522" s="97">
        <f>IF(AND(L522&lt;&gt;"Clôturée",F522&lt;&gt;""),TODAY()-F522,"")</f>
        <v/>
      </c>
    </row>
    <row r="523" ht="15" customHeight="1" s="59">
      <c r="C523" s="98">
        <f>IF(B523="","",IFERROR(VLOOKUP(B523,EQUIPEMENTS!A:B,2,0),""))</f>
        <v/>
      </c>
      <c r="F523" s="91" t="n"/>
      <c r="G523" s="91" t="n"/>
      <c r="O523" s="97">
        <f>IF(AND(L523&lt;&gt;"Clôturée",F523&lt;&gt;""),TODAY()-F523,"")</f>
        <v/>
      </c>
    </row>
    <row r="524" ht="15" customHeight="1" s="59">
      <c r="C524" s="98">
        <f>IF(B524="","",IFERROR(VLOOKUP(B524,EQUIPEMENTS!A:B,2,0),""))</f>
        <v/>
      </c>
      <c r="F524" s="91" t="n"/>
      <c r="G524" s="91" t="n"/>
      <c r="O524" s="97">
        <f>IF(AND(L524&lt;&gt;"Clôturée",F524&lt;&gt;""),TODAY()-F524,"")</f>
        <v/>
      </c>
    </row>
    <row r="525" ht="15" customHeight="1" s="59">
      <c r="C525" s="98">
        <f>IF(B525="","",IFERROR(VLOOKUP(B525,EQUIPEMENTS!A:B,2,0),""))</f>
        <v/>
      </c>
      <c r="F525" s="91" t="n"/>
      <c r="G525" s="91" t="n"/>
      <c r="O525" s="97">
        <f>IF(AND(L525&lt;&gt;"Clôturée",F525&lt;&gt;""),TODAY()-F525,"")</f>
        <v/>
      </c>
    </row>
    <row r="526" ht="15" customHeight="1" s="59">
      <c r="C526" s="98">
        <f>IF(B526="","",IFERROR(VLOOKUP(B526,EQUIPEMENTS!A:B,2,0),""))</f>
        <v/>
      </c>
      <c r="F526" s="91" t="n"/>
      <c r="G526" s="91" t="n"/>
      <c r="O526" s="97">
        <f>IF(AND(L526&lt;&gt;"Clôturée",F526&lt;&gt;""),TODAY()-F526,"")</f>
        <v/>
      </c>
    </row>
    <row r="527" ht="15" customHeight="1" s="59">
      <c r="C527" s="98">
        <f>IF(B527="","",IFERROR(VLOOKUP(B527,EQUIPEMENTS!A:B,2,0),""))</f>
        <v/>
      </c>
      <c r="F527" s="91" t="n"/>
      <c r="G527" s="91" t="n"/>
      <c r="O527" s="97">
        <f>IF(AND(L527&lt;&gt;"Clôturée",F527&lt;&gt;""),TODAY()-F527,"")</f>
        <v/>
      </c>
    </row>
    <row r="528" ht="15" customHeight="1" s="59">
      <c r="C528" s="98">
        <f>IF(B528="","",IFERROR(VLOOKUP(B528,EQUIPEMENTS!A:B,2,0),""))</f>
        <v/>
      </c>
      <c r="F528" s="91" t="n"/>
      <c r="G528" s="91" t="n"/>
      <c r="O528" s="97">
        <f>IF(AND(L528&lt;&gt;"Clôturée",F528&lt;&gt;""),TODAY()-F528,"")</f>
        <v/>
      </c>
    </row>
    <row r="529" ht="15" customHeight="1" s="59">
      <c r="C529" s="98">
        <f>IF(B529="","",IFERROR(VLOOKUP(B529,EQUIPEMENTS!A:B,2,0),""))</f>
        <v/>
      </c>
      <c r="F529" s="91" t="n"/>
      <c r="G529" s="91" t="n"/>
      <c r="O529" s="97">
        <f>IF(AND(L529&lt;&gt;"Clôturée",F529&lt;&gt;""),TODAY()-F529,"")</f>
        <v/>
      </c>
    </row>
    <row r="530" ht="15" customHeight="1" s="59">
      <c r="C530" s="98">
        <f>IF(B530="","",IFERROR(VLOOKUP(B530,EQUIPEMENTS!A:B,2,0),""))</f>
        <v/>
      </c>
      <c r="F530" s="91" t="n"/>
      <c r="G530" s="91" t="n"/>
      <c r="O530" s="97">
        <f>IF(AND(L530&lt;&gt;"Clôturée",F530&lt;&gt;""),TODAY()-F530,"")</f>
        <v/>
      </c>
    </row>
    <row r="531" ht="15" customHeight="1" s="59">
      <c r="C531" s="98">
        <f>IF(B531="","",IFERROR(VLOOKUP(B531,EQUIPEMENTS!A:B,2,0),""))</f>
        <v/>
      </c>
      <c r="F531" s="91" t="n"/>
      <c r="G531" s="91" t="n"/>
      <c r="O531" s="97">
        <f>IF(AND(L531&lt;&gt;"Clôturée",F531&lt;&gt;""),TODAY()-F531,"")</f>
        <v/>
      </c>
    </row>
    <row r="532" ht="15" customHeight="1" s="59">
      <c r="C532" s="98">
        <f>IF(B532="","",IFERROR(VLOOKUP(B532,EQUIPEMENTS!A:B,2,0),""))</f>
        <v/>
      </c>
      <c r="F532" s="91" t="n"/>
      <c r="G532" s="91" t="n"/>
      <c r="O532" s="97">
        <f>IF(AND(L532&lt;&gt;"Clôturée",F532&lt;&gt;""),TODAY()-F532,"")</f>
        <v/>
      </c>
    </row>
    <row r="533" ht="15" customHeight="1" s="59">
      <c r="C533" s="98">
        <f>IF(B533="","",IFERROR(VLOOKUP(B533,EQUIPEMENTS!A:B,2,0),""))</f>
        <v/>
      </c>
      <c r="F533" s="91" t="n"/>
      <c r="G533" s="91" t="n"/>
      <c r="O533" s="97">
        <f>IF(AND(L533&lt;&gt;"Clôturée",F533&lt;&gt;""),TODAY()-F533,"")</f>
        <v/>
      </c>
    </row>
    <row r="534" ht="15" customHeight="1" s="59">
      <c r="C534" s="98">
        <f>IF(B534="","",IFERROR(VLOOKUP(B534,EQUIPEMENTS!A:B,2,0),""))</f>
        <v/>
      </c>
      <c r="F534" s="91" t="n"/>
      <c r="G534" s="91" t="n"/>
      <c r="O534" s="97">
        <f>IF(AND(L534&lt;&gt;"Clôturée",F534&lt;&gt;""),TODAY()-F534,"")</f>
        <v/>
      </c>
    </row>
    <row r="535" ht="15" customHeight="1" s="59">
      <c r="C535" s="98">
        <f>IF(B535="","",IFERROR(VLOOKUP(B535,EQUIPEMENTS!A:B,2,0),""))</f>
        <v/>
      </c>
      <c r="F535" s="91" t="n"/>
      <c r="G535" s="91" t="n"/>
      <c r="O535" s="97">
        <f>IF(AND(L535&lt;&gt;"Clôturée",F535&lt;&gt;""),TODAY()-F535,"")</f>
        <v/>
      </c>
    </row>
    <row r="536" ht="15" customHeight="1" s="59">
      <c r="C536" s="98">
        <f>IF(B536="","",IFERROR(VLOOKUP(B536,EQUIPEMENTS!A:B,2,0),""))</f>
        <v/>
      </c>
      <c r="F536" s="91" t="n"/>
      <c r="G536" s="91" t="n"/>
      <c r="O536" s="97">
        <f>IF(AND(L536&lt;&gt;"Clôturée",F536&lt;&gt;""),TODAY()-F536,"")</f>
        <v/>
      </c>
    </row>
    <row r="537" ht="15" customHeight="1" s="59">
      <c r="C537" s="98">
        <f>IF(B537="","",IFERROR(VLOOKUP(B537,EQUIPEMENTS!A:B,2,0),""))</f>
        <v/>
      </c>
      <c r="F537" s="91" t="n"/>
      <c r="G537" s="91" t="n"/>
      <c r="O537" s="97">
        <f>IF(AND(L537&lt;&gt;"Clôturée",F537&lt;&gt;""),TODAY()-F537,"")</f>
        <v/>
      </c>
    </row>
    <row r="538" ht="15" customHeight="1" s="59">
      <c r="C538" s="98">
        <f>IF(B538="","",IFERROR(VLOOKUP(B538,EQUIPEMENTS!A:B,2,0),""))</f>
        <v/>
      </c>
      <c r="F538" s="91" t="n"/>
      <c r="G538" s="91" t="n"/>
      <c r="O538" s="97">
        <f>IF(AND(L538&lt;&gt;"Clôturée",F538&lt;&gt;""),TODAY()-F538,"")</f>
        <v/>
      </c>
    </row>
    <row r="539" ht="15" customHeight="1" s="59">
      <c r="C539" s="98">
        <f>IF(B539="","",IFERROR(VLOOKUP(B539,EQUIPEMENTS!A:B,2,0),""))</f>
        <v/>
      </c>
      <c r="F539" s="91" t="n"/>
      <c r="G539" s="91" t="n"/>
      <c r="O539" s="97">
        <f>IF(AND(L539&lt;&gt;"Clôturée",F539&lt;&gt;""),TODAY()-F539,"")</f>
        <v/>
      </c>
    </row>
    <row r="540" ht="15" customHeight="1" s="59">
      <c r="C540" s="98">
        <f>IF(B540="","",IFERROR(VLOOKUP(B540,EQUIPEMENTS!A:B,2,0),""))</f>
        <v/>
      </c>
      <c r="F540" s="91" t="n"/>
      <c r="G540" s="91" t="n"/>
      <c r="O540" s="97">
        <f>IF(AND(L540&lt;&gt;"Clôturée",F540&lt;&gt;""),TODAY()-F540,"")</f>
        <v/>
      </c>
    </row>
    <row r="541" ht="15" customHeight="1" s="59">
      <c r="C541" s="98">
        <f>IF(B541="","",IFERROR(VLOOKUP(B541,EQUIPEMENTS!A:B,2,0),""))</f>
        <v/>
      </c>
      <c r="F541" s="91" t="n"/>
      <c r="G541" s="91" t="n"/>
      <c r="O541" s="97">
        <f>IF(AND(L541&lt;&gt;"Clôturée",F541&lt;&gt;""),TODAY()-F541,"")</f>
        <v/>
      </c>
    </row>
    <row r="542" ht="15" customHeight="1" s="59">
      <c r="C542" s="98">
        <f>IF(B542="","",IFERROR(VLOOKUP(B542,EQUIPEMENTS!A:B,2,0),""))</f>
        <v/>
      </c>
      <c r="F542" s="91" t="n"/>
      <c r="G542" s="91" t="n"/>
      <c r="O542" s="97">
        <f>IF(AND(L542&lt;&gt;"Clôturée",F542&lt;&gt;""),TODAY()-F542,"")</f>
        <v/>
      </c>
    </row>
    <row r="543" ht="15" customHeight="1" s="59">
      <c r="C543" s="98">
        <f>IF(B543="","",IFERROR(VLOOKUP(B543,EQUIPEMENTS!A:B,2,0),""))</f>
        <v/>
      </c>
      <c r="F543" s="91" t="n"/>
      <c r="G543" s="91" t="n"/>
      <c r="O543" s="97">
        <f>IF(AND(L543&lt;&gt;"Clôturée",F543&lt;&gt;""),TODAY()-F543,"")</f>
        <v/>
      </c>
    </row>
    <row r="544" ht="15" customHeight="1" s="59">
      <c r="C544" s="98">
        <f>IF(B544="","",IFERROR(VLOOKUP(B544,EQUIPEMENTS!A:B,2,0),""))</f>
        <v/>
      </c>
      <c r="F544" s="91" t="n"/>
      <c r="G544" s="91" t="n"/>
      <c r="O544" s="97">
        <f>IF(AND(L544&lt;&gt;"Clôturée",F544&lt;&gt;""),TODAY()-F544,"")</f>
        <v/>
      </c>
    </row>
    <row r="545" ht="15" customHeight="1" s="59">
      <c r="C545" s="98">
        <f>IF(B545="","",IFERROR(VLOOKUP(B545,EQUIPEMENTS!A:B,2,0),""))</f>
        <v/>
      </c>
      <c r="F545" s="91" t="n"/>
      <c r="G545" s="91" t="n"/>
      <c r="O545" s="97">
        <f>IF(AND(L545&lt;&gt;"Clôturée",F545&lt;&gt;""),TODAY()-F545,"")</f>
        <v/>
      </c>
    </row>
    <row r="546" ht="15" customHeight="1" s="59">
      <c r="C546" s="98">
        <f>IF(B546="","",IFERROR(VLOOKUP(B546,EQUIPEMENTS!A:B,2,0),""))</f>
        <v/>
      </c>
      <c r="F546" s="91" t="n"/>
      <c r="G546" s="91" t="n"/>
      <c r="O546" s="97">
        <f>IF(AND(L546&lt;&gt;"Clôturée",F546&lt;&gt;""),TODAY()-F546,"")</f>
        <v/>
      </c>
    </row>
    <row r="547" ht="15" customHeight="1" s="59">
      <c r="C547" s="98">
        <f>IF(B547="","",IFERROR(VLOOKUP(B547,EQUIPEMENTS!A:B,2,0),""))</f>
        <v/>
      </c>
      <c r="F547" s="91" t="n"/>
      <c r="G547" s="91" t="n"/>
      <c r="O547" s="97">
        <f>IF(AND(L547&lt;&gt;"Clôturée",F547&lt;&gt;""),TODAY()-F547,"")</f>
        <v/>
      </c>
    </row>
    <row r="548" ht="15" customHeight="1" s="59">
      <c r="C548" s="98">
        <f>IF(B548="","",IFERROR(VLOOKUP(B548,EQUIPEMENTS!A:B,2,0),""))</f>
        <v/>
      </c>
      <c r="F548" s="91" t="n"/>
      <c r="G548" s="91" t="n"/>
      <c r="O548" s="97">
        <f>IF(AND(L548&lt;&gt;"Clôturée",F548&lt;&gt;""),TODAY()-F548,"")</f>
        <v/>
      </c>
    </row>
    <row r="549" ht="15" customHeight="1" s="59">
      <c r="C549" s="98">
        <f>IF(B549="","",IFERROR(VLOOKUP(B549,EQUIPEMENTS!A:B,2,0),""))</f>
        <v/>
      </c>
      <c r="F549" s="91" t="n"/>
      <c r="G549" s="91" t="n"/>
      <c r="O549" s="97">
        <f>IF(AND(L549&lt;&gt;"Clôturée",F549&lt;&gt;""),TODAY()-F549,"")</f>
        <v/>
      </c>
    </row>
    <row r="550" ht="15" customHeight="1" s="59">
      <c r="C550" s="98">
        <f>IF(B550="","",IFERROR(VLOOKUP(B550,EQUIPEMENTS!A:B,2,0),""))</f>
        <v/>
      </c>
      <c r="F550" s="91" t="n"/>
      <c r="G550" s="91" t="n"/>
      <c r="O550" s="97">
        <f>IF(AND(L550&lt;&gt;"Clôturée",F550&lt;&gt;""),TODAY()-F550,"")</f>
        <v/>
      </c>
    </row>
    <row r="551" ht="15" customHeight="1" s="59">
      <c r="C551" s="98">
        <f>IF(B551="","",IFERROR(VLOOKUP(B551,EQUIPEMENTS!A:B,2,0),""))</f>
        <v/>
      </c>
      <c r="F551" s="91" t="n"/>
      <c r="G551" s="91" t="n"/>
      <c r="O551" s="97">
        <f>IF(AND(L551&lt;&gt;"Clôturée",F551&lt;&gt;""),TODAY()-F551,"")</f>
        <v/>
      </c>
    </row>
    <row r="552" ht="15" customHeight="1" s="59">
      <c r="C552" s="98">
        <f>IF(B552="","",IFERROR(VLOOKUP(B552,EQUIPEMENTS!A:B,2,0),""))</f>
        <v/>
      </c>
      <c r="F552" s="91" t="n"/>
      <c r="G552" s="91" t="n"/>
      <c r="O552" s="97">
        <f>IF(AND(L552&lt;&gt;"Clôturée",F552&lt;&gt;""),TODAY()-F552,"")</f>
        <v/>
      </c>
    </row>
    <row r="553" ht="15" customHeight="1" s="59">
      <c r="C553" s="98">
        <f>IF(B553="","",IFERROR(VLOOKUP(B553,EQUIPEMENTS!A:B,2,0),""))</f>
        <v/>
      </c>
      <c r="F553" s="91" t="n"/>
      <c r="G553" s="91" t="n"/>
      <c r="O553" s="97">
        <f>IF(AND(L553&lt;&gt;"Clôturée",F553&lt;&gt;""),TODAY()-F553,"")</f>
        <v/>
      </c>
    </row>
    <row r="554" ht="15" customHeight="1" s="59">
      <c r="C554" s="98">
        <f>IF(B554="","",IFERROR(VLOOKUP(B554,EQUIPEMENTS!A:B,2,0),""))</f>
        <v/>
      </c>
      <c r="F554" s="91" t="n"/>
      <c r="G554" s="91" t="n"/>
      <c r="O554" s="97">
        <f>IF(AND(L554&lt;&gt;"Clôturée",F554&lt;&gt;""),TODAY()-F554,"")</f>
        <v/>
      </c>
    </row>
    <row r="555" ht="15" customHeight="1" s="59">
      <c r="C555" s="98">
        <f>IF(B555="","",IFERROR(VLOOKUP(B555,EQUIPEMENTS!A:B,2,0),""))</f>
        <v/>
      </c>
      <c r="F555" s="91" t="n"/>
      <c r="G555" s="91" t="n"/>
      <c r="O555" s="97">
        <f>IF(AND(L555&lt;&gt;"Clôturée",F555&lt;&gt;""),TODAY()-F555,"")</f>
        <v/>
      </c>
    </row>
    <row r="556" ht="15" customHeight="1" s="59">
      <c r="C556" s="98">
        <f>IF(B556="","",IFERROR(VLOOKUP(B556,EQUIPEMENTS!A:B,2,0),""))</f>
        <v/>
      </c>
      <c r="F556" s="91" t="n"/>
      <c r="G556" s="91" t="n"/>
      <c r="O556" s="97">
        <f>IF(AND(L556&lt;&gt;"Clôturée",F556&lt;&gt;""),TODAY()-F556,"")</f>
        <v/>
      </c>
    </row>
    <row r="557" ht="15" customHeight="1" s="59">
      <c r="C557" s="98">
        <f>IF(B557="","",IFERROR(VLOOKUP(B557,EQUIPEMENTS!A:B,2,0),""))</f>
        <v/>
      </c>
      <c r="F557" s="91" t="n"/>
      <c r="G557" s="91" t="n"/>
      <c r="O557" s="97">
        <f>IF(AND(L557&lt;&gt;"Clôturée",F557&lt;&gt;""),TODAY()-F557,"")</f>
        <v/>
      </c>
    </row>
    <row r="558" ht="15" customHeight="1" s="59">
      <c r="C558" s="98">
        <f>IF(B558="","",IFERROR(VLOOKUP(B558,EQUIPEMENTS!A:B,2,0),""))</f>
        <v/>
      </c>
      <c r="F558" s="91" t="n"/>
      <c r="G558" s="91" t="n"/>
      <c r="O558" s="97">
        <f>IF(AND(L558&lt;&gt;"Clôturée",F558&lt;&gt;""),TODAY()-F558,"")</f>
        <v/>
      </c>
    </row>
    <row r="559" ht="15" customHeight="1" s="59">
      <c r="C559" s="98">
        <f>IF(B559="","",IFERROR(VLOOKUP(B559,EQUIPEMENTS!A:B,2,0),""))</f>
        <v/>
      </c>
      <c r="F559" s="91" t="n"/>
      <c r="G559" s="91" t="n"/>
      <c r="O559" s="97">
        <f>IF(AND(L559&lt;&gt;"Clôturée",F559&lt;&gt;""),TODAY()-F559,"")</f>
        <v/>
      </c>
    </row>
    <row r="560" ht="15" customHeight="1" s="59">
      <c r="C560" s="98">
        <f>IF(B560="","",IFERROR(VLOOKUP(B560,EQUIPEMENTS!A:B,2,0),""))</f>
        <v/>
      </c>
      <c r="F560" s="91" t="n"/>
      <c r="G560" s="91" t="n"/>
      <c r="O560" s="97">
        <f>IF(AND(L560&lt;&gt;"Clôturée",F560&lt;&gt;""),TODAY()-F560,"")</f>
        <v/>
      </c>
    </row>
    <row r="561" ht="15" customHeight="1" s="59">
      <c r="C561" s="98">
        <f>IF(B561="","",IFERROR(VLOOKUP(B561,EQUIPEMENTS!A:B,2,0),""))</f>
        <v/>
      </c>
      <c r="F561" s="91" t="n"/>
      <c r="G561" s="91" t="n"/>
      <c r="O561" s="97">
        <f>IF(AND(L561&lt;&gt;"Clôturée",F561&lt;&gt;""),TODAY()-F561,"")</f>
        <v/>
      </c>
    </row>
    <row r="562" ht="15" customHeight="1" s="59">
      <c r="C562" s="98">
        <f>IF(B562="","",IFERROR(VLOOKUP(B562,EQUIPEMENTS!A:B,2,0),""))</f>
        <v/>
      </c>
      <c r="F562" s="91" t="n"/>
      <c r="G562" s="91" t="n"/>
      <c r="O562" s="97">
        <f>IF(AND(L562&lt;&gt;"Clôturée",F562&lt;&gt;""),TODAY()-F562,"")</f>
        <v/>
      </c>
    </row>
    <row r="563" ht="15" customHeight="1" s="59">
      <c r="C563" s="98">
        <f>IF(B563="","",IFERROR(VLOOKUP(B563,EQUIPEMENTS!A:B,2,0),""))</f>
        <v/>
      </c>
      <c r="F563" s="91" t="n"/>
      <c r="G563" s="91" t="n"/>
      <c r="O563" s="97">
        <f>IF(AND(L563&lt;&gt;"Clôturée",F563&lt;&gt;""),TODAY()-F563,"")</f>
        <v/>
      </c>
    </row>
    <row r="564" ht="15" customHeight="1" s="59">
      <c r="C564" s="98">
        <f>IF(B564="","",IFERROR(VLOOKUP(B564,EQUIPEMENTS!A:B,2,0),""))</f>
        <v/>
      </c>
      <c r="F564" s="91" t="n"/>
      <c r="G564" s="91" t="n"/>
      <c r="O564" s="97">
        <f>IF(AND(L564&lt;&gt;"Clôturée",F564&lt;&gt;""),TODAY()-F564,"")</f>
        <v/>
      </c>
    </row>
    <row r="565" ht="15" customHeight="1" s="59">
      <c r="C565" s="98">
        <f>IF(B565="","",IFERROR(VLOOKUP(B565,EQUIPEMENTS!A:B,2,0),""))</f>
        <v/>
      </c>
      <c r="F565" s="91" t="n"/>
      <c r="G565" s="91" t="n"/>
      <c r="O565" s="97">
        <f>IF(AND(L565&lt;&gt;"Clôturée",F565&lt;&gt;""),TODAY()-F565,"")</f>
        <v/>
      </c>
    </row>
    <row r="566" ht="15" customHeight="1" s="59">
      <c r="C566" s="98">
        <f>IF(B566="","",IFERROR(VLOOKUP(B566,EQUIPEMENTS!A:B,2,0),""))</f>
        <v/>
      </c>
      <c r="F566" s="91" t="n"/>
      <c r="G566" s="91" t="n"/>
      <c r="O566" s="97">
        <f>IF(AND(L566&lt;&gt;"Clôturée",F566&lt;&gt;""),TODAY()-F566,"")</f>
        <v/>
      </c>
    </row>
    <row r="567" ht="15" customHeight="1" s="59">
      <c r="C567" s="98">
        <f>IF(B567="","",IFERROR(VLOOKUP(B567,EQUIPEMENTS!A:B,2,0),""))</f>
        <v/>
      </c>
      <c r="F567" s="91" t="n"/>
      <c r="G567" s="91" t="n"/>
      <c r="O567" s="97">
        <f>IF(AND(L567&lt;&gt;"Clôturée",F567&lt;&gt;""),TODAY()-F567,"")</f>
        <v/>
      </c>
    </row>
    <row r="568" ht="15" customHeight="1" s="59">
      <c r="C568" s="98">
        <f>IF(B568="","",IFERROR(VLOOKUP(B568,EQUIPEMENTS!A:B,2,0),""))</f>
        <v/>
      </c>
      <c r="F568" s="91" t="n"/>
      <c r="G568" s="91" t="n"/>
      <c r="O568" s="97">
        <f>IF(AND(L568&lt;&gt;"Clôturée",F568&lt;&gt;""),TODAY()-F568,"")</f>
        <v/>
      </c>
    </row>
    <row r="569" ht="15" customHeight="1" s="59">
      <c r="C569" s="98">
        <f>IF(B569="","",IFERROR(VLOOKUP(B569,EQUIPEMENTS!A:B,2,0),""))</f>
        <v/>
      </c>
      <c r="F569" s="91" t="n"/>
      <c r="G569" s="91" t="n"/>
      <c r="O569" s="97">
        <f>IF(AND(L569&lt;&gt;"Clôturée",F569&lt;&gt;""),TODAY()-F569,"")</f>
        <v/>
      </c>
    </row>
    <row r="570" ht="15" customHeight="1" s="59">
      <c r="C570" s="98">
        <f>IF(B570="","",IFERROR(VLOOKUP(B570,EQUIPEMENTS!A:B,2,0),""))</f>
        <v/>
      </c>
      <c r="F570" s="91" t="n"/>
      <c r="G570" s="91" t="n"/>
      <c r="O570" s="97">
        <f>IF(AND(L570&lt;&gt;"Clôturée",F570&lt;&gt;""),TODAY()-F570,"")</f>
        <v/>
      </c>
    </row>
    <row r="571" ht="15" customHeight="1" s="59">
      <c r="C571" s="98">
        <f>IF(B571="","",IFERROR(VLOOKUP(B571,EQUIPEMENTS!A:B,2,0),""))</f>
        <v/>
      </c>
      <c r="F571" s="91" t="n"/>
      <c r="G571" s="91" t="n"/>
      <c r="O571" s="97">
        <f>IF(AND(L571&lt;&gt;"Clôturée",F571&lt;&gt;""),TODAY()-F571,"")</f>
        <v/>
      </c>
    </row>
    <row r="572" ht="15" customHeight="1" s="59">
      <c r="C572" s="98">
        <f>IF(B572="","",IFERROR(VLOOKUP(B572,EQUIPEMENTS!A:B,2,0),""))</f>
        <v/>
      </c>
      <c r="F572" s="91" t="n"/>
      <c r="G572" s="91" t="n"/>
      <c r="O572" s="97">
        <f>IF(AND(L572&lt;&gt;"Clôturée",F572&lt;&gt;""),TODAY()-F572,"")</f>
        <v/>
      </c>
    </row>
    <row r="573" ht="15" customHeight="1" s="59">
      <c r="C573" s="98">
        <f>IF(B573="","",IFERROR(VLOOKUP(B573,EQUIPEMENTS!A:B,2,0),""))</f>
        <v/>
      </c>
      <c r="F573" s="91" t="n"/>
      <c r="G573" s="91" t="n"/>
      <c r="O573" s="97">
        <f>IF(AND(L573&lt;&gt;"Clôturée",F573&lt;&gt;""),TODAY()-F573,"")</f>
        <v/>
      </c>
    </row>
    <row r="574" ht="15" customHeight="1" s="59">
      <c r="C574" s="98">
        <f>IF(B574="","",IFERROR(VLOOKUP(B574,EQUIPEMENTS!A:B,2,0),""))</f>
        <v/>
      </c>
      <c r="F574" s="91" t="n"/>
      <c r="G574" s="91" t="n"/>
      <c r="O574" s="97">
        <f>IF(AND(L574&lt;&gt;"Clôturée",F574&lt;&gt;""),TODAY()-F574,"")</f>
        <v/>
      </c>
    </row>
    <row r="575" ht="15" customHeight="1" s="59">
      <c r="C575" s="98">
        <f>IF(B575="","",IFERROR(VLOOKUP(B575,EQUIPEMENTS!A:B,2,0),""))</f>
        <v/>
      </c>
      <c r="F575" s="91" t="n"/>
      <c r="G575" s="91" t="n"/>
      <c r="O575" s="97">
        <f>IF(AND(L575&lt;&gt;"Clôturée",F575&lt;&gt;""),TODAY()-F575,"")</f>
        <v/>
      </c>
    </row>
    <row r="576" ht="15" customHeight="1" s="59">
      <c r="C576" s="98">
        <f>IF(B576="","",IFERROR(VLOOKUP(B576,EQUIPEMENTS!A:B,2,0),""))</f>
        <v/>
      </c>
      <c r="F576" s="91" t="n"/>
      <c r="G576" s="91" t="n"/>
      <c r="O576" s="97">
        <f>IF(AND(L576&lt;&gt;"Clôturée",F576&lt;&gt;""),TODAY()-F576,"")</f>
        <v/>
      </c>
    </row>
    <row r="577" ht="15" customHeight="1" s="59">
      <c r="C577" s="98">
        <f>IF(B577="","",IFERROR(VLOOKUP(B577,EQUIPEMENTS!A:B,2,0),""))</f>
        <v/>
      </c>
      <c r="F577" s="91" t="n"/>
      <c r="G577" s="91" t="n"/>
      <c r="O577" s="97">
        <f>IF(AND(L577&lt;&gt;"Clôturée",F577&lt;&gt;""),TODAY()-F577,"")</f>
        <v/>
      </c>
    </row>
    <row r="578" ht="15" customHeight="1" s="59">
      <c r="C578" s="98">
        <f>IF(B578="","",IFERROR(VLOOKUP(B578,EQUIPEMENTS!A:B,2,0),""))</f>
        <v/>
      </c>
      <c r="F578" s="91" t="n"/>
      <c r="G578" s="91" t="n"/>
      <c r="O578" s="97">
        <f>IF(AND(L578&lt;&gt;"Clôturée",F578&lt;&gt;""),TODAY()-F578,"")</f>
        <v/>
      </c>
    </row>
    <row r="579" ht="15" customHeight="1" s="59">
      <c r="C579" s="98">
        <f>IF(B579="","",IFERROR(VLOOKUP(B579,EQUIPEMENTS!A:B,2,0),""))</f>
        <v/>
      </c>
      <c r="F579" s="91" t="n"/>
      <c r="G579" s="91" t="n"/>
      <c r="O579" s="97">
        <f>IF(AND(L579&lt;&gt;"Clôturée",F579&lt;&gt;""),TODAY()-F579,"")</f>
        <v/>
      </c>
    </row>
    <row r="580" ht="15" customHeight="1" s="59">
      <c r="C580" s="98">
        <f>IF(B580="","",IFERROR(VLOOKUP(B580,EQUIPEMENTS!A:B,2,0),""))</f>
        <v/>
      </c>
      <c r="F580" s="91" t="n"/>
      <c r="G580" s="91" t="n"/>
      <c r="O580" s="97">
        <f>IF(AND(L580&lt;&gt;"Clôturée",F580&lt;&gt;""),TODAY()-F580,"")</f>
        <v/>
      </c>
    </row>
    <row r="581" ht="15" customHeight="1" s="59">
      <c r="C581" s="98">
        <f>IF(B581="","",IFERROR(VLOOKUP(B581,EQUIPEMENTS!A:B,2,0),""))</f>
        <v/>
      </c>
      <c r="F581" s="91" t="n"/>
      <c r="G581" s="91" t="n"/>
      <c r="O581" s="97">
        <f>IF(AND(L581&lt;&gt;"Clôturée",F581&lt;&gt;""),TODAY()-F581,"")</f>
        <v/>
      </c>
    </row>
    <row r="582" ht="15" customHeight="1" s="59">
      <c r="C582" s="98">
        <f>IF(B582="","",IFERROR(VLOOKUP(B582,EQUIPEMENTS!A:B,2,0),""))</f>
        <v/>
      </c>
      <c r="F582" s="91" t="n"/>
      <c r="G582" s="91" t="n"/>
      <c r="O582" s="97">
        <f>IF(AND(L582&lt;&gt;"Clôturée",F582&lt;&gt;""),TODAY()-F582,"")</f>
        <v/>
      </c>
    </row>
    <row r="583" ht="15" customHeight="1" s="59">
      <c r="C583" s="98">
        <f>IF(B583="","",IFERROR(VLOOKUP(B583,EQUIPEMENTS!A:B,2,0),""))</f>
        <v/>
      </c>
      <c r="F583" s="91" t="n"/>
      <c r="G583" s="91" t="n"/>
      <c r="O583" s="97">
        <f>IF(AND(L583&lt;&gt;"Clôturée",F583&lt;&gt;""),TODAY()-F583,"")</f>
        <v/>
      </c>
    </row>
    <row r="584" ht="15" customHeight="1" s="59">
      <c r="C584" s="98">
        <f>IF(B584="","",IFERROR(VLOOKUP(B584,EQUIPEMENTS!A:B,2,0),""))</f>
        <v/>
      </c>
      <c r="F584" s="91" t="n"/>
      <c r="G584" s="91" t="n"/>
      <c r="O584" s="97">
        <f>IF(AND(L584&lt;&gt;"Clôturée",F584&lt;&gt;""),TODAY()-F584,"")</f>
        <v/>
      </c>
    </row>
    <row r="585" ht="15" customHeight="1" s="59">
      <c r="C585" s="98">
        <f>IF(B585="","",IFERROR(VLOOKUP(B585,EQUIPEMENTS!A:B,2,0),""))</f>
        <v/>
      </c>
      <c r="F585" s="91" t="n"/>
      <c r="G585" s="91" t="n"/>
      <c r="O585" s="97">
        <f>IF(AND(L585&lt;&gt;"Clôturée",F585&lt;&gt;""),TODAY()-F585,"")</f>
        <v/>
      </c>
    </row>
    <row r="586" ht="15" customHeight="1" s="59">
      <c r="C586" s="98">
        <f>IF(B586="","",IFERROR(VLOOKUP(B586,EQUIPEMENTS!A:B,2,0),""))</f>
        <v/>
      </c>
      <c r="F586" s="91" t="n"/>
      <c r="G586" s="91" t="n"/>
      <c r="O586" s="97">
        <f>IF(AND(L586&lt;&gt;"Clôturée",F586&lt;&gt;""),TODAY()-F586,"")</f>
        <v/>
      </c>
    </row>
    <row r="587" ht="15" customHeight="1" s="59">
      <c r="C587" s="98">
        <f>IF(B587="","",IFERROR(VLOOKUP(B587,EQUIPEMENTS!A:B,2,0),""))</f>
        <v/>
      </c>
      <c r="F587" s="91" t="n"/>
      <c r="G587" s="91" t="n"/>
      <c r="O587" s="97">
        <f>IF(AND(L587&lt;&gt;"Clôturée",F587&lt;&gt;""),TODAY()-F587,"")</f>
        <v/>
      </c>
    </row>
    <row r="588" ht="15" customHeight="1" s="59">
      <c r="C588" s="98">
        <f>IF(B588="","",IFERROR(VLOOKUP(B588,EQUIPEMENTS!A:B,2,0),""))</f>
        <v/>
      </c>
      <c r="F588" s="91" t="n"/>
      <c r="G588" s="91" t="n"/>
      <c r="O588" s="97">
        <f>IF(AND(L588&lt;&gt;"Clôturée",F588&lt;&gt;""),TODAY()-F588,"")</f>
        <v/>
      </c>
    </row>
    <row r="589" ht="15" customHeight="1" s="59">
      <c r="C589" s="98">
        <f>IF(B589="","",IFERROR(VLOOKUP(B589,EQUIPEMENTS!A:B,2,0),""))</f>
        <v/>
      </c>
      <c r="F589" s="91" t="n"/>
      <c r="G589" s="91" t="n"/>
      <c r="O589" s="97">
        <f>IF(AND(L589&lt;&gt;"Clôturée",F589&lt;&gt;""),TODAY()-F589,"")</f>
        <v/>
      </c>
    </row>
    <row r="590" ht="15" customHeight="1" s="59">
      <c r="C590" s="98">
        <f>IF(B590="","",IFERROR(VLOOKUP(B590,EQUIPEMENTS!A:B,2,0),""))</f>
        <v/>
      </c>
      <c r="F590" s="91" t="n"/>
      <c r="G590" s="91" t="n"/>
      <c r="O590" s="97">
        <f>IF(AND(L590&lt;&gt;"Clôturée",F590&lt;&gt;""),TODAY()-F590,"")</f>
        <v/>
      </c>
    </row>
    <row r="591" ht="15" customHeight="1" s="59">
      <c r="C591" s="98">
        <f>IF(B591="","",IFERROR(VLOOKUP(B591,EQUIPEMENTS!A:B,2,0),""))</f>
        <v/>
      </c>
      <c r="F591" s="91" t="n"/>
      <c r="G591" s="91" t="n"/>
      <c r="O591" s="97">
        <f>IF(AND(L591&lt;&gt;"Clôturée",F591&lt;&gt;""),TODAY()-F591,"")</f>
        <v/>
      </c>
    </row>
    <row r="592" ht="15" customHeight="1" s="59">
      <c r="C592" s="98">
        <f>IF(B592="","",IFERROR(VLOOKUP(B592,EQUIPEMENTS!A:B,2,0),""))</f>
        <v/>
      </c>
      <c r="F592" s="91" t="n"/>
      <c r="G592" s="91" t="n"/>
      <c r="O592" s="97">
        <f>IF(AND(L592&lt;&gt;"Clôturée",F592&lt;&gt;""),TODAY()-F592,"")</f>
        <v/>
      </c>
    </row>
    <row r="593" ht="15" customHeight="1" s="59">
      <c r="C593" s="98">
        <f>IF(B593="","",IFERROR(VLOOKUP(B593,EQUIPEMENTS!A:B,2,0),""))</f>
        <v/>
      </c>
      <c r="F593" s="91" t="n"/>
      <c r="G593" s="91" t="n"/>
      <c r="O593" s="97">
        <f>IF(AND(L593&lt;&gt;"Clôturée",F593&lt;&gt;""),TODAY()-F593,"")</f>
        <v/>
      </c>
    </row>
    <row r="594" ht="15" customHeight="1" s="59">
      <c r="C594" s="98">
        <f>IF(B594="","",IFERROR(VLOOKUP(B594,EQUIPEMENTS!A:B,2,0),""))</f>
        <v/>
      </c>
      <c r="F594" s="91" t="n"/>
      <c r="G594" s="91" t="n"/>
      <c r="O594" s="97">
        <f>IF(AND(L594&lt;&gt;"Clôturée",F594&lt;&gt;""),TODAY()-F594,"")</f>
        <v/>
      </c>
    </row>
    <row r="595" ht="15" customHeight="1" s="59">
      <c r="C595" s="98">
        <f>IF(B595="","",IFERROR(VLOOKUP(B595,EQUIPEMENTS!A:B,2,0),""))</f>
        <v/>
      </c>
      <c r="F595" s="91" t="n"/>
      <c r="G595" s="91" t="n"/>
      <c r="O595" s="97">
        <f>IF(AND(L595&lt;&gt;"Clôturée",F595&lt;&gt;""),TODAY()-F595,"")</f>
        <v/>
      </c>
    </row>
    <row r="596" ht="15" customHeight="1" s="59">
      <c r="C596" s="98">
        <f>IF(B596="","",IFERROR(VLOOKUP(B596,EQUIPEMENTS!A:B,2,0),""))</f>
        <v/>
      </c>
      <c r="F596" s="91" t="n"/>
      <c r="G596" s="91" t="n"/>
      <c r="O596" s="97">
        <f>IF(AND(L596&lt;&gt;"Clôturée",F596&lt;&gt;""),TODAY()-F596,"")</f>
        <v/>
      </c>
    </row>
    <row r="597" ht="15" customHeight="1" s="59">
      <c r="C597" s="98">
        <f>IF(B597="","",IFERROR(VLOOKUP(B597,EQUIPEMENTS!A:B,2,0),""))</f>
        <v/>
      </c>
      <c r="F597" s="91" t="n"/>
      <c r="G597" s="91" t="n"/>
      <c r="O597" s="97">
        <f>IF(AND(L597&lt;&gt;"Clôturée",F597&lt;&gt;""),TODAY()-F597,"")</f>
        <v/>
      </c>
    </row>
    <row r="598" ht="15" customHeight="1" s="59">
      <c r="C598" s="98">
        <f>IF(B598="","",IFERROR(VLOOKUP(B598,EQUIPEMENTS!A:B,2,0),""))</f>
        <v/>
      </c>
      <c r="F598" s="91" t="n"/>
      <c r="G598" s="91" t="n"/>
      <c r="O598" s="97">
        <f>IF(AND(L598&lt;&gt;"Clôturée",F598&lt;&gt;""),TODAY()-F598,"")</f>
        <v/>
      </c>
    </row>
    <row r="599" ht="15" customHeight="1" s="59">
      <c r="C599" s="98">
        <f>IF(B599="","",IFERROR(VLOOKUP(B599,EQUIPEMENTS!A:B,2,0),""))</f>
        <v/>
      </c>
      <c r="F599" s="91" t="n"/>
      <c r="G599" s="91" t="n"/>
      <c r="O599" s="97">
        <f>IF(AND(L599&lt;&gt;"Clôturée",F599&lt;&gt;""),TODAY()-F599,"")</f>
        <v/>
      </c>
    </row>
    <row r="600" ht="15" customHeight="1" s="59">
      <c r="C600" s="98">
        <f>IF(B600="","",IFERROR(VLOOKUP(B600,EQUIPEMENTS!A:B,2,0),""))</f>
        <v/>
      </c>
      <c r="F600" s="91" t="n"/>
      <c r="G600" s="91" t="n"/>
      <c r="O600" s="97">
        <f>IF(AND(L600&lt;&gt;"Clôturée",F600&lt;&gt;""),TODAY()-F600,"")</f>
        <v/>
      </c>
    </row>
    <row r="601" ht="15" customHeight="1" s="59">
      <c r="C601" s="98">
        <f>IF(B601="","",IFERROR(VLOOKUP(B601,EQUIPEMENTS!A:B,2,0),""))</f>
        <v/>
      </c>
      <c r="F601" s="91" t="n"/>
      <c r="G601" s="91" t="n"/>
      <c r="O601" s="97">
        <f>IF(AND(L601&lt;&gt;"Clôturée",F601&lt;&gt;""),TODAY()-F601,"")</f>
        <v/>
      </c>
    </row>
    <row r="602" ht="15" customHeight="1" s="59">
      <c r="C602" s="98">
        <f>IF(B602="","",IFERROR(VLOOKUP(B602,EQUIPEMENTS!A:B,2,0),""))</f>
        <v/>
      </c>
      <c r="F602" s="91" t="n"/>
      <c r="G602" s="91" t="n"/>
      <c r="O602" s="97">
        <f>IF(AND(L602&lt;&gt;"Clôturée",F602&lt;&gt;""),TODAY()-F602,"")</f>
        <v/>
      </c>
    </row>
    <row r="603" ht="15" customHeight="1" s="59">
      <c r="C603" s="98">
        <f>IF(B603="","",IFERROR(VLOOKUP(B603,EQUIPEMENTS!A:B,2,0),""))</f>
        <v/>
      </c>
      <c r="F603" s="91" t="n"/>
      <c r="G603" s="91" t="n"/>
      <c r="O603" s="97">
        <f>IF(AND(L603&lt;&gt;"Clôturée",F603&lt;&gt;""),TODAY()-F603,"")</f>
        <v/>
      </c>
    </row>
    <row r="604" ht="15" customHeight="1" s="59">
      <c r="C604" s="98">
        <f>IF(B604="","",IFERROR(VLOOKUP(B604,EQUIPEMENTS!A:B,2,0),""))</f>
        <v/>
      </c>
      <c r="F604" s="91" t="n"/>
      <c r="G604" s="91" t="n"/>
      <c r="O604" s="97">
        <f>IF(AND(L604&lt;&gt;"Clôturée",F604&lt;&gt;""),TODAY()-F604,"")</f>
        <v/>
      </c>
    </row>
    <row r="605" ht="15" customHeight="1" s="59">
      <c r="C605" s="98">
        <f>IF(B605="","",IFERROR(VLOOKUP(B605,EQUIPEMENTS!A:B,2,0),""))</f>
        <v/>
      </c>
      <c r="F605" s="91" t="n"/>
      <c r="G605" s="91" t="n"/>
      <c r="O605" s="97">
        <f>IF(AND(L605&lt;&gt;"Clôturée",F605&lt;&gt;""),TODAY()-F605,"")</f>
        <v/>
      </c>
    </row>
    <row r="606" ht="15" customHeight="1" s="59">
      <c r="C606" s="98">
        <f>IF(B606="","",IFERROR(VLOOKUP(B606,EQUIPEMENTS!A:B,2,0),""))</f>
        <v/>
      </c>
      <c r="F606" s="91" t="n"/>
      <c r="G606" s="91" t="n"/>
      <c r="O606" s="97">
        <f>IF(AND(L606&lt;&gt;"Clôturée",F606&lt;&gt;""),TODAY()-F606,"")</f>
        <v/>
      </c>
    </row>
    <row r="607" ht="15" customHeight="1" s="59">
      <c r="C607" s="98">
        <f>IF(B607="","",IFERROR(VLOOKUP(B607,EQUIPEMENTS!A:B,2,0),""))</f>
        <v/>
      </c>
      <c r="F607" s="91" t="n"/>
      <c r="G607" s="91" t="n"/>
      <c r="O607" s="97">
        <f>IF(AND(L607&lt;&gt;"Clôturée",F607&lt;&gt;""),TODAY()-F607,"")</f>
        <v/>
      </c>
    </row>
    <row r="608" ht="15" customHeight="1" s="59">
      <c r="C608" s="98">
        <f>IF(B608="","",IFERROR(VLOOKUP(B608,EQUIPEMENTS!A:B,2,0),""))</f>
        <v/>
      </c>
      <c r="F608" s="91" t="n"/>
      <c r="G608" s="91" t="n"/>
      <c r="O608" s="97">
        <f>IF(AND(L608&lt;&gt;"Clôturée",F608&lt;&gt;""),TODAY()-F608,"")</f>
        <v/>
      </c>
    </row>
    <row r="609" ht="15" customHeight="1" s="59">
      <c r="C609" s="98">
        <f>IF(B609="","",IFERROR(VLOOKUP(B609,EQUIPEMENTS!A:B,2,0),""))</f>
        <v/>
      </c>
      <c r="F609" s="91" t="n"/>
      <c r="G609" s="91" t="n"/>
      <c r="O609" s="97">
        <f>IF(AND(L609&lt;&gt;"Clôturée",F609&lt;&gt;""),TODAY()-F609,"")</f>
        <v/>
      </c>
    </row>
    <row r="610" ht="15" customHeight="1" s="59">
      <c r="C610" s="98">
        <f>IF(B610="","",IFERROR(VLOOKUP(B610,EQUIPEMENTS!A:B,2,0),""))</f>
        <v/>
      </c>
      <c r="F610" s="91" t="n"/>
      <c r="G610" s="91" t="n"/>
      <c r="O610" s="97">
        <f>IF(AND(L610&lt;&gt;"Clôturée",F610&lt;&gt;""),TODAY()-F610,"")</f>
        <v/>
      </c>
    </row>
    <row r="611" ht="15" customHeight="1" s="59">
      <c r="C611" s="98">
        <f>IF(B611="","",IFERROR(VLOOKUP(B611,EQUIPEMENTS!A:B,2,0),""))</f>
        <v/>
      </c>
      <c r="F611" s="91" t="n"/>
      <c r="G611" s="91" t="n"/>
      <c r="O611" s="97">
        <f>IF(AND(L611&lt;&gt;"Clôturée",F611&lt;&gt;""),TODAY()-F611,"")</f>
        <v/>
      </c>
    </row>
    <row r="612" ht="15" customHeight="1" s="59">
      <c r="C612" s="98">
        <f>IF(B612="","",IFERROR(VLOOKUP(B612,EQUIPEMENTS!A:B,2,0),""))</f>
        <v/>
      </c>
      <c r="F612" s="91" t="n"/>
      <c r="G612" s="91" t="n"/>
      <c r="O612" s="97">
        <f>IF(AND(L612&lt;&gt;"Clôturée",F612&lt;&gt;""),TODAY()-F612,"")</f>
        <v/>
      </c>
    </row>
    <row r="613" ht="15" customHeight="1" s="59">
      <c r="C613" s="98">
        <f>IF(B613="","",IFERROR(VLOOKUP(B613,EQUIPEMENTS!A:B,2,0),""))</f>
        <v/>
      </c>
      <c r="F613" s="91" t="n"/>
      <c r="G613" s="91" t="n"/>
      <c r="O613" s="97">
        <f>IF(AND(L613&lt;&gt;"Clôturée",F613&lt;&gt;""),TODAY()-F613,"")</f>
        <v/>
      </c>
    </row>
    <row r="614" ht="15" customHeight="1" s="59">
      <c r="C614" s="98">
        <f>IF(B614="","",IFERROR(VLOOKUP(B614,EQUIPEMENTS!A:B,2,0),""))</f>
        <v/>
      </c>
      <c r="F614" s="91" t="n"/>
      <c r="G614" s="91" t="n"/>
      <c r="O614" s="97">
        <f>IF(AND(L614&lt;&gt;"Clôturée",F614&lt;&gt;""),TODAY()-F614,"")</f>
        <v/>
      </c>
    </row>
    <row r="615" ht="15" customHeight="1" s="59">
      <c r="C615" s="98">
        <f>IF(B615="","",IFERROR(VLOOKUP(B615,EQUIPEMENTS!A:B,2,0),""))</f>
        <v/>
      </c>
      <c r="F615" s="91" t="n"/>
      <c r="G615" s="91" t="n"/>
      <c r="O615" s="97">
        <f>IF(AND(L615&lt;&gt;"Clôturée",F615&lt;&gt;""),TODAY()-F615,"")</f>
        <v/>
      </c>
    </row>
    <row r="616" ht="15" customHeight="1" s="59">
      <c r="C616" s="98">
        <f>IF(B616="","",IFERROR(VLOOKUP(B616,EQUIPEMENTS!A:B,2,0),""))</f>
        <v/>
      </c>
      <c r="F616" s="91" t="n"/>
      <c r="G616" s="91" t="n"/>
      <c r="O616" s="97">
        <f>IF(AND(L616&lt;&gt;"Clôturée",F616&lt;&gt;""),TODAY()-F616,"")</f>
        <v/>
      </c>
    </row>
    <row r="617" ht="15" customHeight="1" s="59">
      <c r="C617" s="98">
        <f>IF(B617="","",IFERROR(VLOOKUP(B617,EQUIPEMENTS!A:B,2,0),""))</f>
        <v/>
      </c>
      <c r="F617" s="91" t="n"/>
      <c r="G617" s="91" t="n"/>
      <c r="O617" s="97">
        <f>IF(AND(L617&lt;&gt;"Clôturée",F617&lt;&gt;""),TODAY()-F617,"")</f>
        <v/>
      </c>
    </row>
    <row r="618" ht="15" customHeight="1" s="59">
      <c r="C618" s="98">
        <f>IF(B618="","",IFERROR(VLOOKUP(B618,EQUIPEMENTS!A:B,2,0),""))</f>
        <v/>
      </c>
      <c r="F618" s="91" t="n"/>
      <c r="G618" s="91" t="n"/>
      <c r="O618" s="97">
        <f>IF(AND(L618&lt;&gt;"Clôturée",F618&lt;&gt;""),TODAY()-F618,"")</f>
        <v/>
      </c>
    </row>
    <row r="619" ht="15" customHeight="1" s="59">
      <c r="C619" s="98">
        <f>IF(B619="","",IFERROR(VLOOKUP(B619,EQUIPEMENTS!A:B,2,0),""))</f>
        <v/>
      </c>
      <c r="F619" s="91" t="n"/>
      <c r="G619" s="91" t="n"/>
      <c r="O619" s="97">
        <f>IF(AND(L619&lt;&gt;"Clôturée",F619&lt;&gt;""),TODAY()-F619,"")</f>
        <v/>
      </c>
    </row>
    <row r="620" ht="15" customHeight="1" s="59">
      <c r="C620" s="98">
        <f>IF(B620="","",IFERROR(VLOOKUP(B620,EQUIPEMENTS!A:B,2,0),""))</f>
        <v/>
      </c>
      <c r="F620" s="91" t="n"/>
      <c r="G620" s="91" t="n"/>
      <c r="O620" s="97">
        <f>IF(AND(L620&lt;&gt;"Clôturée",F620&lt;&gt;""),TODAY()-F620,"")</f>
        <v/>
      </c>
    </row>
    <row r="621" ht="15" customHeight="1" s="59">
      <c r="C621" s="98">
        <f>IF(B621="","",IFERROR(VLOOKUP(B621,EQUIPEMENTS!A:B,2,0),""))</f>
        <v/>
      </c>
      <c r="F621" s="91" t="n"/>
      <c r="G621" s="91" t="n"/>
      <c r="O621" s="97">
        <f>IF(AND(L621&lt;&gt;"Clôturée",F621&lt;&gt;""),TODAY()-F621,"")</f>
        <v/>
      </c>
    </row>
    <row r="622" ht="15" customHeight="1" s="59">
      <c r="C622" s="98">
        <f>IF(B622="","",IFERROR(VLOOKUP(B622,EQUIPEMENTS!A:B,2,0),""))</f>
        <v/>
      </c>
      <c r="F622" s="91" t="n"/>
      <c r="G622" s="91" t="n"/>
      <c r="O622" s="97">
        <f>IF(AND(L622&lt;&gt;"Clôturée",F622&lt;&gt;""),TODAY()-F622,"")</f>
        <v/>
      </c>
    </row>
    <row r="623" ht="15" customHeight="1" s="59">
      <c r="C623" s="98">
        <f>IF(B623="","",IFERROR(VLOOKUP(B623,EQUIPEMENTS!A:B,2,0),""))</f>
        <v/>
      </c>
      <c r="F623" s="91" t="n"/>
      <c r="G623" s="91" t="n"/>
      <c r="O623" s="97">
        <f>IF(AND(L623&lt;&gt;"Clôturée",F623&lt;&gt;""),TODAY()-F623,"")</f>
        <v/>
      </c>
    </row>
    <row r="624" ht="15" customHeight="1" s="59">
      <c r="C624" s="98">
        <f>IF(B624="","",IFERROR(VLOOKUP(B624,EQUIPEMENTS!A:B,2,0),""))</f>
        <v/>
      </c>
      <c r="F624" s="91" t="n"/>
      <c r="G624" s="91" t="n"/>
      <c r="O624" s="97">
        <f>IF(AND(L624&lt;&gt;"Clôturée",F624&lt;&gt;""),TODAY()-F624,"")</f>
        <v/>
      </c>
    </row>
    <row r="625" ht="15" customHeight="1" s="59">
      <c r="C625" s="98">
        <f>IF(B625="","",IFERROR(VLOOKUP(B625,EQUIPEMENTS!A:B,2,0),""))</f>
        <v/>
      </c>
      <c r="F625" s="91" t="n"/>
      <c r="G625" s="91" t="n"/>
      <c r="O625" s="97">
        <f>IF(AND(L625&lt;&gt;"Clôturée",F625&lt;&gt;""),TODAY()-F625,"")</f>
        <v/>
      </c>
    </row>
    <row r="626" ht="15" customHeight="1" s="59">
      <c r="C626" s="98">
        <f>IF(B626="","",IFERROR(VLOOKUP(B626,EQUIPEMENTS!A:B,2,0),""))</f>
        <v/>
      </c>
      <c r="F626" s="91" t="n"/>
      <c r="G626" s="91" t="n"/>
      <c r="O626" s="97">
        <f>IF(AND(L626&lt;&gt;"Clôturée",F626&lt;&gt;""),TODAY()-F626,"")</f>
        <v/>
      </c>
    </row>
    <row r="627" ht="15" customHeight="1" s="59">
      <c r="C627" s="98">
        <f>IF(B627="","",IFERROR(VLOOKUP(B627,EQUIPEMENTS!A:B,2,0),""))</f>
        <v/>
      </c>
      <c r="F627" s="91" t="n"/>
      <c r="G627" s="91" t="n"/>
      <c r="O627" s="97">
        <f>IF(AND(L627&lt;&gt;"Clôturée",F627&lt;&gt;""),TODAY()-F627,"")</f>
        <v/>
      </c>
    </row>
    <row r="628" ht="15" customHeight="1" s="59">
      <c r="C628" s="98">
        <f>IF(B628="","",IFERROR(VLOOKUP(B628,EQUIPEMENTS!A:B,2,0),""))</f>
        <v/>
      </c>
      <c r="F628" s="91" t="n"/>
      <c r="G628" s="91" t="n"/>
      <c r="O628" s="97">
        <f>IF(AND(L628&lt;&gt;"Clôturée",F628&lt;&gt;""),TODAY()-F628,"")</f>
        <v/>
      </c>
    </row>
    <row r="629" ht="15" customHeight="1" s="59">
      <c r="C629" s="98">
        <f>IF(B629="","",IFERROR(VLOOKUP(B629,EQUIPEMENTS!A:B,2,0),""))</f>
        <v/>
      </c>
      <c r="F629" s="91" t="n"/>
      <c r="G629" s="91" t="n"/>
      <c r="O629" s="97">
        <f>IF(AND(L629&lt;&gt;"Clôturée",F629&lt;&gt;""),TODAY()-F629,"")</f>
        <v/>
      </c>
    </row>
    <row r="630" ht="15" customHeight="1" s="59">
      <c r="C630" s="98">
        <f>IF(B630="","",IFERROR(VLOOKUP(B630,EQUIPEMENTS!A:B,2,0),""))</f>
        <v/>
      </c>
      <c r="F630" s="91" t="n"/>
      <c r="G630" s="91" t="n"/>
      <c r="O630" s="97">
        <f>IF(AND(L630&lt;&gt;"Clôturée",F630&lt;&gt;""),TODAY()-F630,"")</f>
        <v/>
      </c>
    </row>
    <row r="631" ht="15" customHeight="1" s="59">
      <c r="C631" s="98">
        <f>IF(B631="","",IFERROR(VLOOKUP(B631,EQUIPEMENTS!A:B,2,0),""))</f>
        <v/>
      </c>
      <c r="F631" s="91" t="n"/>
      <c r="G631" s="91" t="n"/>
      <c r="O631" s="97">
        <f>IF(AND(L631&lt;&gt;"Clôturée",F631&lt;&gt;""),TODAY()-F631,"")</f>
        <v/>
      </c>
    </row>
    <row r="632" ht="15" customHeight="1" s="59">
      <c r="C632" s="98">
        <f>IF(B632="","",IFERROR(VLOOKUP(B632,EQUIPEMENTS!A:B,2,0),""))</f>
        <v/>
      </c>
      <c r="F632" s="91" t="n"/>
      <c r="G632" s="91" t="n"/>
      <c r="O632" s="97">
        <f>IF(AND(L632&lt;&gt;"Clôturée",F632&lt;&gt;""),TODAY()-F632,"")</f>
        <v/>
      </c>
    </row>
    <row r="633" ht="15" customHeight="1" s="59">
      <c r="C633" s="98">
        <f>IF(B633="","",IFERROR(VLOOKUP(B633,EQUIPEMENTS!A:B,2,0),""))</f>
        <v/>
      </c>
      <c r="F633" s="91" t="n"/>
      <c r="G633" s="91" t="n"/>
      <c r="O633" s="97">
        <f>IF(AND(L633&lt;&gt;"Clôturée",F633&lt;&gt;""),TODAY()-F633,"")</f>
        <v/>
      </c>
    </row>
    <row r="634" ht="15" customHeight="1" s="59">
      <c r="C634" s="98">
        <f>IF(B634="","",IFERROR(VLOOKUP(B634,EQUIPEMENTS!A:B,2,0),""))</f>
        <v/>
      </c>
      <c r="F634" s="91" t="n"/>
      <c r="G634" s="91" t="n"/>
      <c r="O634" s="97">
        <f>IF(AND(L634&lt;&gt;"Clôturée",F634&lt;&gt;""),TODAY()-F634,"")</f>
        <v/>
      </c>
    </row>
    <row r="635" ht="15" customHeight="1" s="59">
      <c r="C635" s="98">
        <f>IF(B635="","",IFERROR(VLOOKUP(B635,EQUIPEMENTS!A:B,2,0),""))</f>
        <v/>
      </c>
      <c r="F635" s="91" t="n"/>
      <c r="G635" s="91" t="n"/>
      <c r="O635" s="97">
        <f>IF(AND(L635&lt;&gt;"Clôturée",F635&lt;&gt;""),TODAY()-F635,"")</f>
        <v/>
      </c>
    </row>
    <row r="636" ht="15" customHeight="1" s="59">
      <c r="C636" s="98">
        <f>IF(B636="","",IFERROR(VLOOKUP(B636,EQUIPEMENTS!A:B,2,0),""))</f>
        <v/>
      </c>
      <c r="F636" s="91" t="n"/>
      <c r="G636" s="91" t="n"/>
      <c r="O636" s="97">
        <f>IF(AND(L636&lt;&gt;"Clôturée",F636&lt;&gt;""),TODAY()-F636,"")</f>
        <v/>
      </c>
    </row>
    <row r="637" ht="15" customHeight="1" s="59">
      <c r="C637" s="98">
        <f>IF(B637="","",IFERROR(VLOOKUP(B637,EQUIPEMENTS!A:B,2,0),""))</f>
        <v/>
      </c>
      <c r="F637" s="91" t="n"/>
      <c r="G637" s="91" t="n"/>
      <c r="O637" s="97">
        <f>IF(AND(L637&lt;&gt;"Clôturée",F637&lt;&gt;""),TODAY()-F637,"")</f>
        <v/>
      </c>
    </row>
    <row r="638" ht="15" customHeight="1" s="59">
      <c r="C638" s="98">
        <f>IF(B638="","",IFERROR(VLOOKUP(B638,EQUIPEMENTS!A:B,2,0),""))</f>
        <v/>
      </c>
      <c r="F638" s="91" t="n"/>
      <c r="G638" s="91" t="n"/>
      <c r="O638" s="97">
        <f>IF(AND(L638&lt;&gt;"Clôturée",F638&lt;&gt;""),TODAY()-F638,"")</f>
        <v/>
      </c>
    </row>
    <row r="639" ht="15" customHeight="1" s="59">
      <c r="C639" s="98">
        <f>IF(B639="","",IFERROR(VLOOKUP(B639,EQUIPEMENTS!A:B,2,0),""))</f>
        <v/>
      </c>
      <c r="F639" s="91" t="n"/>
      <c r="G639" s="91" t="n"/>
      <c r="O639" s="97">
        <f>IF(AND(L639&lt;&gt;"Clôturée",F639&lt;&gt;""),TODAY()-F639,"")</f>
        <v/>
      </c>
    </row>
    <row r="640" ht="15" customHeight="1" s="59">
      <c r="C640" s="98">
        <f>IF(B640="","",IFERROR(VLOOKUP(B640,EQUIPEMENTS!A:B,2,0),""))</f>
        <v/>
      </c>
      <c r="F640" s="91" t="n"/>
      <c r="G640" s="91" t="n"/>
      <c r="O640" s="97">
        <f>IF(AND(L640&lt;&gt;"Clôturée",F640&lt;&gt;""),TODAY()-F640,"")</f>
        <v/>
      </c>
    </row>
    <row r="641" ht="15" customHeight="1" s="59">
      <c r="C641" s="98">
        <f>IF(B641="","",IFERROR(VLOOKUP(B641,EQUIPEMENTS!A:B,2,0),""))</f>
        <v/>
      </c>
      <c r="F641" s="91" t="n"/>
      <c r="G641" s="91" t="n"/>
      <c r="O641" s="97">
        <f>IF(AND(L641&lt;&gt;"Clôturée",F641&lt;&gt;""),TODAY()-F641,"")</f>
        <v/>
      </c>
    </row>
    <row r="642" ht="15" customHeight="1" s="59">
      <c r="C642" s="98">
        <f>IF(B642="","",IFERROR(VLOOKUP(B642,EQUIPEMENTS!A:B,2,0),""))</f>
        <v/>
      </c>
      <c r="F642" s="91" t="n"/>
      <c r="G642" s="91" t="n"/>
      <c r="O642" s="97">
        <f>IF(AND(L642&lt;&gt;"Clôturée",F642&lt;&gt;""),TODAY()-F642,"")</f>
        <v/>
      </c>
    </row>
    <row r="643" ht="15" customHeight="1" s="59">
      <c r="C643" s="98">
        <f>IF(B643="","",IFERROR(VLOOKUP(B643,EQUIPEMENTS!A:B,2,0),""))</f>
        <v/>
      </c>
      <c r="F643" s="91" t="n"/>
      <c r="G643" s="91" t="n"/>
      <c r="O643" s="97">
        <f>IF(AND(L643&lt;&gt;"Clôturée",F643&lt;&gt;""),TODAY()-F643,"")</f>
        <v/>
      </c>
    </row>
    <row r="644" ht="15" customHeight="1" s="59">
      <c r="C644" s="98">
        <f>IF(B644="","",IFERROR(VLOOKUP(B644,EQUIPEMENTS!A:B,2,0),""))</f>
        <v/>
      </c>
      <c r="F644" s="91" t="n"/>
      <c r="G644" s="91" t="n"/>
      <c r="O644" s="97">
        <f>IF(AND(L644&lt;&gt;"Clôturée",F644&lt;&gt;""),TODAY()-F644,"")</f>
        <v/>
      </c>
    </row>
    <row r="645" ht="15" customHeight="1" s="59">
      <c r="C645" s="98">
        <f>IF(B645="","",IFERROR(VLOOKUP(B645,EQUIPEMENTS!A:B,2,0),""))</f>
        <v/>
      </c>
      <c r="F645" s="91" t="n"/>
      <c r="G645" s="91" t="n"/>
      <c r="O645" s="97">
        <f>IF(AND(L645&lt;&gt;"Clôturée",F645&lt;&gt;""),TODAY()-F645,"")</f>
        <v/>
      </c>
    </row>
    <row r="646" ht="15" customHeight="1" s="59">
      <c r="C646" s="98">
        <f>IF(B646="","",IFERROR(VLOOKUP(B646,EQUIPEMENTS!A:B,2,0),""))</f>
        <v/>
      </c>
      <c r="F646" s="91" t="n"/>
      <c r="G646" s="91" t="n"/>
      <c r="O646" s="97">
        <f>IF(AND(L646&lt;&gt;"Clôturée",F646&lt;&gt;""),TODAY()-F646,"")</f>
        <v/>
      </c>
    </row>
    <row r="647" ht="15" customHeight="1" s="59">
      <c r="C647" s="98">
        <f>IF(B647="","",IFERROR(VLOOKUP(B647,EQUIPEMENTS!A:B,2,0),""))</f>
        <v/>
      </c>
      <c r="F647" s="91" t="n"/>
      <c r="G647" s="91" t="n"/>
      <c r="O647" s="97">
        <f>IF(AND(L647&lt;&gt;"Clôturée",F647&lt;&gt;""),TODAY()-F647,"")</f>
        <v/>
      </c>
    </row>
    <row r="648" ht="15" customHeight="1" s="59">
      <c r="C648" s="98">
        <f>IF(B648="","",IFERROR(VLOOKUP(B648,EQUIPEMENTS!A:B,2,0),""))</f>
        <v/>
      </c>
      <c r="F648" s="91" t="n"/>
      <c r="G648" s="91" t="n"/>
      <c r="O648" s="97">
        <f>IF(AND(L648&lt;&gt;"Clôturée",F648&lt;&gt;""),TODAY()-F648,"")</f>
        <v/>
      </c>
    </row>
    <row r="649" ht="15" customHeight="1" s="59">
      <c r="C649" s="98">
        <f>IF(B649="","",IFERROR(VLOOKUP(B649,EQUIPEMENTS!A:B,2,0),""))</f>
        <v/>
      </c>
      <c r="F649" s="91" t="n"/>
      <c r="G649" s="91" t="n"/>
      <c r="O649" s="97">
        <f>IF(AND(L649&lt;&gt;"Clôturée",F649&lt;&gt;""),TODAY()-F649,"")</f>
        <v/>
      </c>
    </row>
    <row r="650" ht="15" customHeight="1" s="59">
      <c r="C650" s="98">
        <f>IF(B650="","",IFERROR(VLOOKUP(B650,EQUIPEMENTS!A:B,2,0),""))</f>
        <v/>
      </c>
      <c r="F650" s="91" t="n"/>
      <c r="G650" s="91" t="n"/>
      <c r="O650" s="97">
        <f>IF(AND(L650&lt;&gt;"Clôturée",F650&lt;&gt;""),TODAY()-F650,"")</f>
        <v/>
      </c>
    </row>
    <row r="651" ht="15" customHeight="1" s="59">
      <c r="C651" s="98">
        <f>IF(B651="","",IFERROR(VLOOKUP(B651,EQUIPEMENTS!A:B,2,0),""))</f>
        <v/>
      </c>
      <c r="F651" s="91" t="n"/>
      <c r="G651" s="91" t="n"/>
      <c r="O651" s="97">
        <f>IF(AND(L651&lt;&gt;"Clôturée",F651&lt;&gt;""),TODAY()-F651,"")</f>
        <v/>
      </c>
    </row>
    <row r="652" ht="15" customHeight="1" s="59">
      <c r="C652" s="98">
        <f>IF(B652="","",IFERROR(VLOOKUP(B652,EQUIPEMENTS!A:B,2,0),""))</f>
        <v/>
      </c>
      <c r="F652" s="91" t="n"/>
      <c r="G652" s="91" t="n"/>
      <c r="O652" s="97">
        <f>IF(AND(L652&lt;&gt;"Clôturée",F652&lt;&gt;""),TODAY()-F652,"")</f>
        <v/>
      </c>
    </row>
    <row r="653" ht="15" customHeight="1" s="59">
      <c r="C653" s="98">
        <f>IF(B653="","",IFERROR(VLOOKUP(B653,EQUIPEMENTS!A:B,2,0),""))</f>
        <v/>
      </c>
      <c r="F653" s="91" t="n"/>
      <c r="G653" s="91" t="n"/>
      <c r="O653" s="97">
        <f>IF(AND(L653&lt;&gt;"Clôturée",F653&lt;&gt;""),TODAY()-F653,"")</f>
        <v/>
      </c>
    </row>
    <row r="654" ht="15" customHeight="1" s="59">
      <c r="C654" s="98">
        <f>IF(B654="","",IFERROR(VLOOKUP(B654,EQUIPEMENTS!A:B,2,0),""))</f>
        <v/>
      </c>
      <c r="F654" s="91" t="n"/>
      <c r="G654" s="91" t="n"/>
      <c r="O654" s="97">
        <f>IF(AND(L654&lt;&gt;"Clôturée",F654&lt;&gt;""),TODAY()-F654,"")</f>
        <v/>
      </c>
    </row>
    <row r="655" ht="15" customHeight="1" s="59">
      <c r="C655" s="98">
        <f>IF(B655="","",IFERROR(VLOOKUP(B655,EQUIPEMENTS!A:B,2,0),""))</f>
        <v/>
      </c>
      <c r="F655" s="91" t="n"/>
      <c r="G655" s="91" t="n"/>
      <c r="O655" s="97">
        <f>IF(AND(L655&lt;&gt;"Clôturée",F655&lt;&gt;""),TODAY()-F655,"")</f>
        <v/>
      </c>
    </row>
    <row r="656" ht="15" customHeight="1" s="59">
      <c r="C656" s="98">
        <f>IF(B656="","",IFERROR(VLOOKUP(B656,EQUIPEMENTS!A:B,2,0),""))</f>
        <v/>
      </c>
      <c r="F656" s="91" t="n"/>
      <c r="G656" s="91" t="n"/>
      <c r="O656" s="97">
        <f>IF(AND(L656&lt;&gt;"Clôturée",F656&lt;&gt;""),TODAY()-F656,"")</f>
        <v/>
      </c>
    </row>
    <row r="657" ht="15" customHeight="1" s="59">
      <c r="C657" s="98">
        <f>IF(B657="","",IFERROR(VLOOKUP(B657,EQUIPEMENTS!A:B,2,0),""))</f>
        <v/>
      </c>
      <c r="F657" s="91" t="n"/>
      <c r="G657" s="91" t="n"/>
      <c r="O657" s="97">
        <f>IF(AND(L657&lt;&gt;"Clôturée",F657&lt;&gt;""),TODAY()-F657,"")</f>
        <v/>
      </c>
    </row>
    <row r="658" ht="15" customHeight="1" s="59">
      <c r="C658" s="98">
        <f>IF(B658="","",IFERROR(VLOOKUP(B658,EQUIPEMENTS!A:B,2,0),""))</f>
        <v/>
      </c>
      <c r="F658" s="91" t="n"/>
      <c r="G658" s="91" t="n"/>
      <c r="O658" s="97">
        <f>IF(AND(L658&lt;&gt;"Clôturée",F658&lt;&gt;""),TODAY()-F658,"")</f>
        <v/>
      </c>
    </row>
    <row r="659" ht="15" customHeight="1" s="59">
      <c r="C659" s="98">
        <f>IF(B659="","",IFERROR(VLOOKUP(B659,EQUIPEMENTS!A:B,2,0),""))</f>
        <v/>
      </c>
      <c r="F659" s="91" t="n"/>
      <c r="G659" s="91" t="n"/>
      <c r="O659" s="97">
        <f>IF(AND(L659&lt;&gt;"Clôturée",F659&lt;&gt;""),TODAY()-F659,"")</f>
        <v/>
      </c>
    </row>
    <row r="660" ht="15" customHeight="1" s="59">
      <c r="C660" s="98">
        <f>IF(B660="","",IFERROR(VLOOKUP(B660,EQUIPEMENTS!A:B,2,0),""))</f>
        <v/>
      </c>
      <c r="F660" s="91" t="n"/>
      <c r="G660" s="91" t="n"/>
      <c r="O660" s="97">
        <f>IF(AND(L660&lt;&gt;"Clôturée",F660&lt;&gt;""),TODAY()-F660,"")</f>
        <v/>
      </c>
    </row>
    <row r="661" ht="15" customHeight="1" s="59">
      <c r="C661" s="98">
        <f>IF(B661="","",IFERROR(VLOOKUP(B661,EQUIPEMENTS!A:B,2,0),""))</f>
        <v/>
      </c>
      <c r="F661" s="91" t="n"/>
      <c r="G661" s="91" t="n"/>
      <c r="O661" s="97">
        <f>IF(AND(L661&lt;&gt;"Clôturée",F661&lt;&gt;""),TODAY()-F661,"")</f>
        <v/>
      </c>
    </row>
    <row r="662" ht="15" customHeight="1" s="59">
      <c r="C662" s="98">
        <f>IF(B662="","",IFERROR(VLOOKUP(B662,EQUIPEMENTS!A:B,2,0),""))</f>
        <v/>
      </c>
      <c r="F662" s="91" t="n"/>
      <c r="G662" s="91" t="n"/>
      <c r="O662" s="97">
        <f>IF(AND(L662&lt;&gt;"Clôturée",F662&lt;&gt;""),TODAY()-F662,"")</f>
        <v/>
      </c>
    </row>
    <row r="663" ht="15" customHeight="1" s="59">
      <c r="C663" s="98">
        <f>IF(B663="","",IFERROR(VLOOKUP(B663,EQUIPEMENTS!A:B,2,0),""))</f>
        <v/>
      </c>
      <c r="F663" s="91" t="n"/>
      <c r="G663" s="91" t="n"/>
      <c r="O663" s="97">
        <f>IF(AND(L663&lt;&gt;"Clôturée",F663&lt;&gt;""),TODAY()-F663,"")</f>
        <v/>
      </c>
    </row>
    <row r="664" ht="15" customHeight="1" s="59">
      <c r="C664" s="98">
        <f>IF(B664="","",IFERROR(VLOOKUP(B664,EQUIPEMENTS!A:B,2,0),""))</f>
        <v/>
      </c>
      <c r="F664" s="91" t="n"/>
      <c r="G664" s="91" t="n"/>
      <c r="O664" s="97">
        <f>IF(AND(L664&lt;&gt;"Clôturée",F664&lt;&gt;""),TODAY()-F664,"")</f>
        <v/>
      </c>
    </row>
    <row r="665" ht="15" customHeight="1" s="59">
      <c r="C665" s="98">
        <f>IF(B665="","",IFERROR(VLOOKUP(B665,EQUIPEMENTS!A:B,2,0),""))</f>
        <v/>
      </c>
      <c r="F665" s="91" t="n"/>
      <c r="G665" s="91" t="n"/>
      <c r="O665" s="97">
        <f>IF(AND(L665&lt;&gt;"Clôturée",F665&lt;&gt;""),TODAY()-F665,"")</f>
        <v/>
      </c>
    </row>
    <row r="666" ht="15" customHeight="1" s="59">
      <c r="C666" s="98">
        <f>IF(B666="","",IFERROR(VLOOKUP(B666,EQUIPEMENTS!A:B,2,0),""))</f>
        <v/>
      </c>
      <c r="F666" s="91" t="n"/>
      <c r="G666" s="91" t="n"/>
      <c r="O666" s="97">
        <f>IF(AND(L666&lt;&gt;"Clôturée",F666&lt;&gt;""),TODAY()-F666,"")</f>
        <v/>
      </c>
    </row>
    <row r="667" ht="15" customHeight="1" s="59">
      <c r="C667" s="98">
        <f>IF(B667="","",IFERROR(VLOOKUP(B667,EQUIPEMENTS!A:B,2,0),""))</f>
        <v/>
      </c>
      <c r="F667" s="91" t="n"/>
      <c r="G667" s="91" t="n"/>
      <c r="O667" s="97">
        <f>IF(AND(L667&lt;&gt;"Clôturée",F667&lt;&gt;""),TODAY()-F667,"")</f>
        <v/>
      </c>
    </row>
    <row r="668" ht="15" customHeight="1" s="59">
      <c r="C668" s="98">
        <f>IF(B668="","",IFERROR(VLOOKUP(B668,EQUIPEMENTS!A:B,2,0),""))</f>
        <v/>
      </c>
      <c r="F668" s="91" t="n"/>
      <c r="G668" s="91" t="n"/>
      <c r="O668" s="97">
        <f>IF(AND(L668&lt;&gt;"Clôturée",F668&lt;&gt;""),TODAY()-F668,"")</f>
        <v/>
      </c>
    </row>
    <row r="669" ht="15" customHeight="1" s="59">
      <c r="C669" s="98">
        <f>IF(B669="","",IFERROR(VLOOKUP(B669,EQUIPEMENTS!A:B,2,0),""))</f>
        <v/>
      </c>
      <c r="F669" s="91" t="n"/>
      <c r="G669" s="91" t="n"/>
      <c r="O669" s="97">
        <f>IF(AND(L669&lt;&gt;"Clôturée",F669&lt;&gt;""),TODAY()-F669,"")</f>
        <v/>
      </c>
    </row>
    <row r="670" ht="15" customHeight="1" s="59">
      <c r="C670" s="98">
        <f>IF(B670="","",IFERROR(VLOOKUP(B670,EQUIPEMENTS!A:B,2,0),""))</f>
        <v/>
      </c>
      <c r="F670" s="91" t="n"/>
      <c r="G670" s="91" t="n"/>
      <c r="O670" s="97">
        <f>IF(AND(L670&lt;&gt;"Clôturée",F670&lt;&gt;""),TODAY()-F670,"")</f>
        <v/>
      </c>
    </row>
    <row r="671" ht="15" customHeight="1" s="59">
      <c r="C671" s="98">
        <f>IF(B671="","",IFERROR(VLOOKUP(B671,EQUIPEMENTS!A:B,2,0),""))</f>
        <v/>
      </c>
      <c r="F671" s="91" t="n"/>
      <c r="G671" s="91" t="n"/>
      <c r="O671" s="97">
        <f>IF(AND(L671&lt;&gt;"Clôturée",F671&lt;&gt;""),TODAY()-F671,"")</f>
        <v/>
      </c>
    </row>
    <row r="672" ht="15" customHeight="1" s="59">
      <c r="C672" s="98">
        <f>IF(B672="","",IFERROR(VLOOKUP(B672,EQUIPEMENTS!A:B,2,0),""))</f>
        <v/>
      </c>
      <c r="F672" s="91" t="n"/>
      <c r="G672" s="91" t="n"/>
      <c r="O672" s="97">
        <f>IF(AND(L672&lt;&gt;"Clôturée",F672&lt;&gt;""),TODAY()-F672,"")</f>
        <v/>
      </c>
    </row>
    <row r="673" ht="15" customHeight="1" s="59">
      <c r="C673" s="98">
        <f>IF(B673="","",IFERROR(VLOOKUP(B673,EQUIPEMENTS!A:B,2,0),""))</f>
        <v/>
      </c>
      <c r="F673" s="91" t="n"/>
      <c r="G673" s="91" t="n"/>
      <c r="O673" s="97">
        <f>IF(AND(L673&lt;&gt;"Clôturée",F673&lt;&gt;""),TODAY()-F673,"")</f>
        <v/>
      </c>
    </row>
    <row r="674" ht="15" customHeight="1" s="59">
      <c r="C674" s="98">
        <f>IF(B674="","",IFERROR(VLOOKUP(B674,EQUIPEMENTS!A:B,2,0),""))</f>
        <v/>
      </c>
      <c r="F674" s="91" t="n"/>
      <c r="G674" s="91" t="n"/>
      <c r="O674" s="97">
        <f>IF(AND(L674&lt;&gt;"Clôturée",F674&lt;&gt;""),TODAY()-F674,"")</f>
        <v/>
      </c>
    </row>
    <row r="675" ht="15" customHeight="1" s="59">
      <c r="C675" s="98">
        <f>IF(B675="","",IFERROR(VLOOKUP(B675,EQUIPEMENTS!A:B,2,0),""))</f>
        <v/>
      </c>
      <c r="F675" s="91" t="n"/>
      <c r="G675" s="91" t="n"/>
      <c r="O675" s="97">
        <f>IF(AND(L675&lt;&gt;"Clôturée",F675&lt;&gt;""),TODAY()-F675,"")</f>
        <v/>
      </c>
    </row>
    <row r="676" ht="15" customHeight="1" s="59">
      <c r="C676" s="98">
        <f>IF(B676="","",IFERROR(VLOOKUP(B676,EQUIPEMENTS!A:B,2,0),""))</f>
        <v/>
      </c>
      <c r="F676" s="91" t="n"/>
      <c r="G676" s="91" t="n"/>
      <c r="O676" s="97">
        <f>IF(AND(L676&lt;&gt;"Clôturée",F676&lt;&gt;""),TODAY()-F676,"")</f>
        <v/>
      </c>
    </row>
    <row r="677" ht="15" customHeight="1" s="59">
      <c r="C677" s="98">
        <f>IF(B677="","",IFERROR(VLOOKUP(B677,EQUIPEMENTS!A:B,2,0),""))</f>
        <v/>
      </c>
      <c r="F677" s="91" t="n"/>
      <c r="G677" s="91" t="n"/>
      <c r="O677" s="97">
        <f>IF(AND(L677&lt;&gt;"Clôturée",F677&lt;&gt;""),TODAY()-F677,"")</f>
        <v/>
      </c>
    </row>
    <row r="678" ht="15" customHeight="1" s="59">
      <c r="C678" s="98">
        <f>IF(B678="","",IFERROR(VLOOKUP(B678,EQUIPEMENTS!A:B,2,0),""))</f>
        <v/>
      </c>
      <c r="F678" s="91" t="n"/>
      <c r="G678" s="91" t="n"/>
      <c r="O678" s="97">
        <f>IF(AND(L678&lt;&gt;"Clôturée",F678&lt;&gt;""),TODAY()-F678,"")</f>
        <v/>
      </c>
    </row>
    <row r="679" ht="15" customHeight="1" s="59">
      <c r="C679" s="98">
        <f>IF(B679="","",IFERROR(VLOOKUP(B679,EQUIPEMENTS!A:B,2,0),""))</f>
        <v/>
      </c>
      <c r="F679" s="91" t="n"/>
      <c r="G679" s="91" t="n"/>
      <c r="O679" s="97">
        <f>IF(AND(L679&lt;&gt;"Clôturée",F679&lt;&gt;""),TODAY()-F679,"")</f>
        <v/>
      </c>
    </row>
    <row r="680" ht="15" customHeight="1" s="59">
      <c r="C680" s="98">
        <f>IF(B680="","",IFERROR(VLOOKUP(B680,EQUIPEMENTS!A:B,2,0),""))</f>
        <v/>
      </c>
      <c r="F680" s="91" t="n"/>
      <c r="G680" s="91" t="n"/>
      <c r="O680" s="97">
        <f>IF(AND(L680&lt;&gt;"Clôturée",F680&lt;&gt;""),TODAY()-F680,"")</f>
        <v/>
      </c>
    </row>
    <row r="681" ht="15" customHeight="1" s="59">
      <c r="C681" s="98">
        <f>IF(B681="","",IFERROR(VLOOKUP(B681,EQUIPEMENTS!A:B,2,0),""))</f>
        <v/>
      </c>
      <c r="F681" s="91" t="n"/>
      <c r="G681" s="91" t="n"/>
      <c r="O681" s="97">
        <f>IF(AND(L681&lt;&gt;"Clôturée",F681&lt;&gt;""),TODAY()-F681,"")</f>
        <v/>
      </c>
    </row>
    <row r="682" ht="15" customHeight="1" s="59">
      <c r="C682" s="98">
        <f>IF(B682="","",IFERROR(VLOOKUP(B682,EQUIPEMENTS!A:B,2,0),""))</f>
        <v/>
      </c>
      <c r="F682" s="91" t="n"/>
      <c r="G682" s="91" t="n"/>
      <c r="O682" s="97">
        <f>IF(AND(L682&lt;&gt;"Clôturée",F682&lt;&gt;""),TODAY()-F682,"")</f>
        <v/>
      </c>
    </row>
    <row r="683" ht="15" customHeight="1" s="59">
      <c r="C683" s="98">
        <f>IF(B683="","",IFERROR(VLOOKUP(B683,EQUIPEMENTS!A:B,2,0),""))</f>
        <v/>
      </c>
      <c r="F683" s="91" t="n"/>
      <c r="G683" s="91" t="n"/>
      <c r="O683" s="97">
        <f>IF(AND(L683&lt;&gt;"Clôturée",F683&lt;&gt;""),TODAY()-F683,"")</f>
        <v/>
      </c>
    </row>
    <row r="684" ht="15" customHeight="1" s="59">
      <c r="C684" s="98">
        <f>IF(B684="","",IFERROR(VLOOKUP(B684,EQUIPEMENTS!A:B,2,0),""))</f>
        <v/>
      </c>
      <c r="F684" s="91" t="n"/>
      <c r="G684" s="91" t="n"/>
      <c r="O684" s="97">
        <f>IF(AND(L684&lt;&gt;"Clôturée",F684&lt;&gt;""),TODAY()-F684,"")</f>
        <v/>
      </c>
    </row>
    <row r="685" ht="15" customHeight="1" s="59">
      <c r="C685" s="98">
        <f>IF(B685="","",IFERROR(VLOOKUP(B685,EQUIPEMENTS!A:B,2,0),""))</f>
        <v/>
      </c>
      <c r="F685" s="91" t="n"/>
      <c r="G685" s="91" t="n"/>
      <c r="O685" s="97">
        <f>IF(AND(L685&lt;&gt;"Clôturée",F685&lt;&gt;""),TODAY()-F685,"")</f>
        <v/>
      </c>
    </row>
    <row r="686" ht="15" customHeight="1" s="59">
      <c r="C686" s="98">
        <f>IF(B686="","",IFERROR(VLOOKUP(B686,EQUIPEMENTS!A:B,2,0),""))</f>
        <v/>
      </c>
      <c r="F686" s="91" t="n"/>
      <c r="G686" s="91" t="n"/>
      <c r="O686" s="97">
        <f>IF(AND(L686&lt;&gt;"Clôturée",F686&lt;&gt;""),TODAY()-F686,"")</f>
        <v/>
      </c>
    </row>
    <row r="687" ht="15" customHeight="1" s="59">
      <c r="C687" s="98">
        <f>IF(B687="","",IFERROR(VLOOKUP(B687,EQUIPEMENTS!A:B,2,0),""))</f>
        <v/>
      </c>
      <c r="F687" s="91" t="n"/>
      <c r="G687" s="91" t="n"/>
      <c r="O687" s="97">
        <f>IF(AND(L687&lt;&gt;"Clôturée",F687&lt;&gt;""),TODAY()-F687,"")</f>
        <v/>
      </c>
    </row>
    <row r="688" ht="15" customHeight="1" s="59">
      <c r="C688" s="98">
        <f>IF(B688="","",IFERROR(VLOOKUP(B688,EQUIPEMENTS!A:B,2,0),""))</f>
        <v/>
      </c>
      <c r="F688" s="91" t="n"/>
      <c r="G688" s="91" t="n"/>
      <c r="O688" s="97">
        <f>IF(AND(L688&lt;&gt;"Clôturée",F688&lt;&gt;""),TODAY()-F688,"")</f>
        <v/>
      </c>
    </row>
    <row r="689" ht="15" customHeight="1" s="59">
      <c r="C689" s="98">
        <f>IF(B689="","",IFERROR(VLOOKUP(B689,EQUIPEMENTS!A:B,2,0),""))</f>
        <v/>
      </c>
      <c r="F689" s="91" t="n"/>
      <c r="G689" s="91" t="n"/>
      <c r="O689" s="97">
        <f>IF(AND(L689&lt;&gt;"Clôturée",F689&lt;&gt;""),TODAY()-F689,"")</f>
        <v/>
      </c>
    </row>
    <row r="690" ht="15" customHeight="1" s="59">
      <c r="C690" s="98">
        <f>IF(B690="","",IFERROR(VLOOKUP(B690,EQUIPEMENTS!A:B,2,0),""))</f>
        <v/>
      </c>
      <c r="F690" s="91" t="n"/>
      <c r="G690" s="91" t="n"/>
      <c r="O690" s="97">
        <f>IF(AND(L690&lt;&gt;"Clôturée",F690&lt;&gt;""),TODAY()-F690,"")</f>
        <v/>
      </c>
    </row>
    <row r="691" ht="15" customHeight="1" s="59">
      <c r="C691" s="98">
        <f>IF(B691="","",IFERROR(VLOOKUP(B691,EQUIPEMENTS!A:B,2,0),""))</f>
        <v/>
      </c>
      <c r="F691" s="91" t="n"/>
      <c r="G691" s="91" t="n"/>
      <c r="O691" s="97">
        <f>IF(AND(L691&lt;&gt;"Clôturée",F691&lt;&gt;""),TODAY()-F691,"")</f>
        <v/>
      </c>
    </row>
    <row r="692" ht="15" customHeight="1" s="59">
      <c r="C692" s="98">
        <f>IF(B692="","",IFERROR(VLOOKUP(B692,EQUIPEMENTS!A:B,2,0),""))</f>
        <v/>
      </c>
      <c r="F692" s="91" t="n"/>
      <c r="G692" s="91" t="n"/>
      <c r="O692" s="97">
        <f>IF(AND(L692&lt;&gt;"Clôturée",F692&lt;&gt;""),TODAY()-F692,"")</f>
        <v/>
      </c>
    </row>
    <row r="693" ht="15" customHeight="1" s="59">
      <c r="C693" s="98">
        <f>IF(B693="","",IFERROR(VLOOKUP(B693,EQUIPEMENTS!A:B,2,0),""))</f>
        <v/>
      </c>
      <c r="F693" s="91" t="n"/>
      <c r="G693" s="91" t="n"/>
      <c r="O693" s="97">
        <f>IF(AND(L693&lt;&gt;"Clôturée",F693&lt;&gt;""),TODAY()-F693,"")</f>
        <v/>
      </c>
    </row>
    <row r="694" ht="15" customHeight="1" s="59">
      <c r="C694" s="98">
        <f>IF(B694="","",IFERROR(VLOOKUP(B694,EQUIPEMENTS!A:B,2,0),""))</f>
        <v/>
      </c>
      <c r="F694" s="91" t="n"/>
      <c r="G694" s="91" t="n"/>
      <c r="O694" s="97">
        <f>IF(AND(L694&lt;&gt;"Clôturée",F694&lt;&gt;""),TODAY()-F694,"")</f>
        <v/>
      </c>
    </row>
    <row r="695" ht="15" customHeight="1" s="59">
      <c r="C695" s="98">
        <f>IF(B695="","",IFERROR(VLOOKUP(B695,EQUIPEMENTS!A:B,2,0),""))</f>
        <v/>
      </c>
      <c r="F695" s="91" t="n"/>
      <c r="G695" s="91" t="n"/>
      <c r="O695" s="97">
        <f>IF(AND(L695&lt;&gt;"Clôturée",F695&lt;&gt;""),TODAY()-F695,"")</f>
        <v/>
      </c>
    </row>
    <row r="696" ht="15" customHeight="1" s="59">
      <c r="C696" s="98">
        <f>IF(B696="","",IFERROR(VLOOKUP(B696,EQUIPEMENTS!A:B,2,0),""))</f>
        <v/>
      </c>
      <c r="F696" s="91" t="n"/>
      <c r="G696" s="91" t="n"/>
      <c r="O696" s="97">
        <f>IF(AND(L696&lt;&gt;"Clôturée",F696&lt;&gt;""),TODAY()-F696,"")</f>
        <v/>
      </c>
    </row>
    <row r="697" ht="15" customHeight="1" s="59">
      <c r="C697" s="98">
        <f>IF(B697="","",IFERROR(VLOOKUP(B697,EQUIPEMENTS!A:B,2,0),""))</f>
        <v/>
      </c>
      <c r="F697" s="91" t="n"/>
      <c r="G697" s="91" t="n"/>
      <c r="O697" s="97">
        <f>IF(AND(L697&lt;&gt;"Clôturée",F697&lt;&gt;""),TODAY()-F697,"")</f>
        <v/>
      </c>
    </row>
    <row r="698" ht="15" customHeight="1" s="59">
      <c r="C698" s="98">
        <f>IF(B698="","",IFERROR(VLOOKUP(B698,EQUIPEMENTS!A:B,2,0),""))</f>
        <v/>
      </c>
      <c r="F698" s="91" t="n"/>
      <c r="G698" s="91" t="n"/>
      <c r="O698" s="97">
        <f>IF(AND(L698&lt;&gt;"Clôturée",F698&lt;&gt;""),TODAY()-F698,"")</f>
        <v/>
      </c>
    </row>
    <row r="699" ht="15" customHeight="1" s="59">
      <c r="C699" s="98">
        <f>IF(B699="","",IFERROR(VLOOKUP(B699,EQUIPEMENTS!A:B,2,0),""))</f>
        <v/>
      </c>
      <c r="F699" s="91" t="n"/>
      <c r="G699" s="91" t="n"/>
      <c r="O699" s="97">
        <f>IF(AND(L699&lt;&gt;"Clôturée",F699&lt;&gt;""),TODAY()-F699,"")</f>
        <v/>
      </c>
    </row>
    <row r="700" ht="15" customHeight="1" s="59">
      <c r="C700" s="98">
        <f>IF(B700="","",IFERROR(VLOOKUP(B700,EQUIPEMENTS!A:B,2,0),""))</f>
        <v/>
      </c>
      <c r="F700" s="91" t="n"/>
      <c r="G700" s="91" t="n"/>
      <c r="O700" s="97">
        <f>IF(AND(L700&lt;&gt;"Clôturée",F700&lt;&gt;""),TODAY()-F700,"")</f>
        <v/>
      </c>
    </row>
    <row r="701" ht="15" customHeight="1" s="59">
      <c r="C701" s="98">
        <f>IF(B701="","",IFERROR(VLOOKUP(B701,EQUIPEMENTS!A:B,2,0),""))</f>
        <v/>
      </c>
      <c r="F701" s="91" t="n"/>
      <c r="G701" s="91" t="n"/>
      <c r="O701" s="97">
        <f>IF(AND(L701&lt;&gt;"Clôturée",F701&lt;&gt;""),TODAY()-F701,"")</f>
        <v/>
      </c>
    </row>
    <row r="702" ht="15" customHeight="1" s="59">
      <c r="C702" s="98">
        <f>IF(B702="","",IFERROR(VLOOKUP(B702,EQUIPEMENTS!A:B,2,0),""))</f>
        <v/>
      </c>
      <c r="F702" s="91" t="n"/>
      <c r="G702" s="91" t="n"/>
      <c r="O702" s="97">
        <f>IF(AND(L702&lt;&gt;"Clôturée",F702&lt;&gt;""),TODAY()-F702,"")</f>
        <v/>
      </c>
    </row>
    <row r="703" ht="15" customHeight="1" s="59">
      <c r="C703" s="98">
        <f>IF(B703="","",IFERROR(VLOOKUP(B703,EQUIPEMENTS!A:B,2,0),""))</f>
        <v/>
      </c>
      <c r="F703" s="91" t="n"/>
      <c r="G703" s="91" t="n"/>
      <c r="O703" s="97">
        <f>IF(AND(L703&lt;&gt;"Clôturée",F703&lt;&gt;""),TODAY()-F703,"")</f>
        <v/>
      </c>
    </row>
    <row r="704" ht="15" customHeight="1" s="59">
      <c r="C704" s="98">
        <f>IF(B704="","",IFERROR(VLOOKUP(B704,EQUIPEMENTS!A:B,2,0),""))</f>
        <v/>
      </c>
      <c r="F704" s="91" t="n"/>
      <c r="G704" s="91" t="n"/>
      <c r="O704" s="97">
        <f>IF(AND(L704&lt;&gt;"Clôturée",F704&lt;&gt;""),TODAY()-F704,"")</f>
        <v/>
      </c>
    </row>
    <row r="705" ht="15" customHeight="1" s="59">
      <c r="C705" s="98">
        <f>IF(B705="","",IFERROR(VLOOKUP(B705,EQUIPEMENTS!A:B,2,0),""))</f>
        <v/>
      </c>
      <c r="F705" s="91" t="n"/>
      <c r="G705" s="91" t="n"/>
      <c r="O705" s="97">
        <f>IF(AND(L705&lt;&gt;"Clôturée",F705&lt;&gt;""),TODAY()-F705,"")</f>
        <v/>
      </c>
    </row>
    <row r="706" ht="15" customHeight="1" s="59">
      <c r="C706" s="98">
        <f>IF(B706="","",IFERROR(VLOOKUP(B706,EQUIPEMENTS!A:B,2,0),""))</f>
        <v/>
      </c>
      <c r="F706" s="91" t="n"/>
      <c r="G706" s="91" t="n"/>
      <c r="O706" s="97">
        <f>IF(AND(L706&lt;&gt;"Clôturée",F706&lt;&gt;""),TODAY()-F706,"")</f>
        <v/>
      </c>
    </row>
    <row r="707" ht="15" customHeight="1" s="59">
      <c r="C707" s="98">
        <f>IF(B707="","",IFERROR(VLOOKUP(B707,EQUIPEMENTS!A:B,2,0),""))</f>
        <v/>
      </c>
      <c r="F707" s="91" t="n"/>
      <c r="G707" s="91" t="n"/>
      <c r="O707" s="97">
        <f>IF(AND(L707&lt;&gt;"Clôturée",F707&lt;&gt;""),TODAY()-F707,"")</f>
        <v/>
      </c>
    </row>
    <row r="708" ht="15" customHeight="1" s="59">
      <c r="C708" s="98">
        <f>IF(B708="","",IFERROR(VLOOKUP(B708,EQUIPEMENTS!A:B,2,0),""))</f>
        <v/>
      </c>
      <c r="F708" s="91" t="n"/>
      <c r="G708" s="91" t="n"/>
      <c r="O708" s="97">
        <f>IF(AND(L708&lt;&gt;"Clôturée",F708&lt;&gt;""),TODAY()-F708,"")</f>
        <v/>
      </c>
    </row>
    <row r="709" ht="15" customHeight="1" s="59">
      <c r="C709" s="98">
        <f>IF(B709="","",IFERROR(VLOOKUP(B709,EQUIPEMENTS!A:B,2,0),""))</f>
        <v/>
      </c>
      <c r="F709" s="91" t="n"/>
      <c r="G709" s="91" t="n"/>
      <c r="O709" s="97">
        <f>IF(AND(L709&lt;&gt;"Clôturée",F709&lt;&gt;""),TODAY()-F709,"")</f>
        <v/>
      </c>
    </row>
    <row r="710" ht="15" customHeight="1" s="59">
      <c r="C710" s="98">
        <f>IF(B710="","",IFERROR(VLOOKUP(B710,EQUIPEMENTS!A:B,2,0),""))</f>
        <v/>
      </c>
      <c r="F710" s="91" t="n"/>
      <c r="G710" s="91" t="n"/>
      <c r="O710" s="97">
        <f>IF(AND(L710&lt;&gt;"Clôturée",F710&lt;&gt;""),TODAY()-F710,"")</f>
        <v/>
      </c>
    </row>
    <row r="711" ht="15" customHeight="1" s="59">
      <c r="C711" s="98">
        <f>IF(B711="","",IFERROR(VLOOKUP(B711,EQUIPEMENTS!A:B,2,0),""))</f>
        <v/>
      </c>
      <c r="F711" s="91" t="n"/>
      <c r="G711" s="91" t="n"/>
      <c r="O711" s="97">
        <f>IF(AND(L711&lt;&gt;"Clôturée",F711&lt;&gt;""),TODAY()-F711,"")</f>
        <v/>
      </c>
    </row>
    <row r="712" ht="15" customHeight="1" s="59">
      <c r="C712" s="98">
        <f>IF(B712="","",IFERROR(VLOOKUP(B712,EQUIPEMENTS!A:B,2,0),""))</f>
        <v/>
      </c>
      <c r="F712" s="91" t="n"/>
      <c r="G712" s="91" t="n"/>
      <c r="O712" s="97">
        <f>IF(AND(L712&lt;&gt;"Clôturée",F712&lt;&gt;""),TODAY()-F712,"")</f>
        <v/>
      </c>
    </row>
    <row r="713" ht="15" customHeight="1" s="59">
      <c r="C713" s="98">
        <f>IF(B713="","",IFERROR(VLOOKUP(B713,EQUIPEMENTS!A:B,2,0),""))</f>
        <v/>
      </c>
      <c r="F713" s="91" t="n"/>
      <c r="G713" s="91" t="n"/>
      <c r="O713" s="97">
        <f>IF(AND(L713&lt;&gt;"Clôturée",F713&lt;&gt;""),TODAY()-F713,"")</f>
        <v/>
      </c>
    </row>
    <row r="714" ht="15" customHeight="1" s="59">
      <c r="C714" s="98">
        <f>IF(B714="","",IFERROR(VLOOKUP(B714,EQUIPEMENTS!A:B,2,0),""))</f>
        <v/>
      </c>
      <c r="F714" s="91" t="n"/>
      <c r="G714" s="91" t="n"/>
      <c r="O714" s="97">
        <f>IF(AND(L714&lt;&gt;"Clôturée",F714&lt;&gt;""),TODAY()-F714,"")</f>
        <v/>
      </c>
    </row>
    <row r="715" ht="15" customHeight="1" s="59">
      <c r="C715" s="98">
        <f>IF(B715="","",IFERROR(VLOOKUP(B715,EQUIPEMENTS!A:B,2,0),""))</f>
        <v/>
      </c>
      <c r="F715" s="91" t="n"/>
      <c r="G715" s="91" t="n"/>
      <c r="O715" s="97">
        <f>IF(AND(L715&lt;&gt;"Clôturée",F715&lt;&gt;""),TODAY()-F715,"")</f>
        <v/>
      </c>
    </row>
    <row r="716" ht="15" customHeight="1" s="59">
      <c r="C716" s="98">
        <f>IF(B716="","",IFERROR(VLOOKUP(B716,EQUIPEMENTS!A:B,2,0),""))</f>
        <v/>
      </c>
      <c r="F716" s="91" t="n"/>
      <c r="G716" s="91" t="n"/>
      <c r="O716" s="97">
        <f>IF(AND(L716&lt;&gt;"Clôturée",F716&lt;&gt;""),TODAY()-F716,"")</f>
        <v/>
      </c>
    </row>
    <row r="717" ht="15" customHeight="1" s="59">
      <c r="C717" s="98">
        <f>IF(B717="","",IFERROR(VLOOKUP(B717,EQUIPEMENTS!A:B,2,0),""))</f>
        <v/>
      </c>
      <c r="F717" s="91" t="n"/>
      <c r="G717" s="91" t="n"/>
      <c r="O717" s="97">
        <f>IF(AND(L717&lt;&gt;"Clôturée",F717&lt;&gt;""),TODAY()-F717,"")</f>
        <v/>
      </c>
    </row>
    <row r="718" ht="15" customHeight="1" s="59">
      <c r="C718" s="98">
        <f>IF(B718="","",IFERROR(VLOOKUP(B718,EQUIPEMENTS!A:B,2,0),""))</f>
        <v/>
      </c>
      <c r="F718" s="91" t="n"/>
      <c r="G718" s="91" t="n"/>
      <c r="O718" s="97">
        <f>IF(AND(L718&lt;&gt;"Clôturée",F718&lt;&gt;""),TODAY()-F718,"")</f>
        <v/>
      </c>
    </row>
    <row r="719" ht="15" customHeight="1" s="59">
      <c r="C719" s="98">
        <f>IF(B719="","",IFERROR(VLOOKUP(B719,EQUIPEMENTS!A:B,2,0),""))</f>
        <v/>
      </c>
      <c r="F719" s="91" t="n"/>
      <c r="G719" s="91" t="n"/>
      <c r="O719" s="97">
        <f>IF(AND(L719&lt;&gt;"Clôturée",F719&lt;&gt;""),TODAY()-F719,"")</f>
        <v/>
      </c>
    </row>
    <row r="720" ht="15" customHeight="1" s="59">
      <c r="C720" s="98">
        <f>IF(B720="","",IFERROR(VLOOKUP(B720,EQUIPEMENTS!A:B,2,0),""))</f>
        <v/>
      </c>
      <c r="F720" s="91" t="n"/>
      <c r="G720" s="91" t="n"/>
      <c r="O720" s="97">
        <f>IF(AND(L720&lt;&gt;"Clôturée",F720&lt;&gt;""),TODAY()-F720,"")</f>
        <v/>
      </c>
    </row>
    <row r="721" ht="15" customHeight="1" s="59">
      <c r="C721" s="98">
        <f>IF(B721="","",IFERROR(VLOOKUP(B721,EQUIPEMENTS!A:B,2,0),""))</f>
        <v/>
      </c>
      <c r="F721" s="91" t="n"/>
      <c r="G721" s="91" t="n"/>
      <c r="O721" s="97">
        <f>IF(AND(L721&lt;&gt;"Clôturée",F721&lt;&gt;""),TODAY()-F721,"")</f>
        <v/>
      </c>
    </row>
    <row r="722" ht="15" customHeight="1" s="59">
      <c r="C722" s="98">
        <f>IF(B722="","",IFERROR(VLOOKUP(B722,EQUIPEMENTS!A:B,2,0),""))</f>
        <v/>
      </c>
      <c r="F722" s="91" t="n"/>
      <c r="G722" s="91" t="n"/>
      <c r="O722" s="97">
        <f>IF(AND(L722&lt;&gt;"Clôturée",F722&lt;&gt;""),TODAY()-F722,"")</f>
        <v/>
      </c>
    </row>
    <row r="723" ht="15" customHeight="1" s="59">
      <c r="C723" s="98">
        <f>IF(B723="","",IFERROR(VLOOKUP(B723,EQUIPEMENTS!A:B,2,0),""))</f>
        <v/>
      </c>
      <c r="F723" s="91" t="n"/>
      <c r="G723" s="91" t="n"/>
      <c r="O723" s="97">
        <f>IF(AND(L723&lt;&gt;"Clôturée",F723&lt;&gt;""),TODAY()-F723,"")</f>
        <v/>
      </c>
    </row>
    <row r="724" ht="15" customHeight="1" s="59">
      <c r="C724" s="98">
        <f>IF(B724="","",IFERROR(VLOOKUP(B724,EQUIPEMENTS!A:B,2,0),""))</f>
        <v/>
      </c>
      <c r="F724" s="91" t="n"/>
      <c r="G724" s="91" t="n"/>
      <c r="O724" s="97">
        <f>IF(AND(L724&lt;&gt;"Clôturée",F724&lt;&gt;""),TODAY()-F724,"")</f>
        <v/>
      </c>
    </row>
    <row r="725" ht="15" customHeight="1" s="59">
      <c r="C725" s="98">
        <f>IF(B725="","",IFERROR(VLOOKUP(B725,EQUIPEMENTS!A:B,2,0),""))</f>
        <v/>
      </c>
      <c r="F725" s="91" t="n"/>
      <c r="G725" s="91" t="n"/>
      <c r="O725" s="97">
        <f>IF(AND(L725&lt;&gt;"Clôturée",F725&lt;&gt;""),TODAY()-F725,"")</f>
        <v/>
      </c>
    </row>
    <row r="726" ht="15" customHeight="1" s="59">
      <c r="C726" s="98">
        <f>IF(B726="","",IFERROR(VLOOKUP(B726,EQUIPEMENTS!A:B,2,0),""))</f>
        <v/>
      </c>
      <c r="F726" s="91" t="n"/>
      <c r="G726" s="91" t="n"/>
      <c r="O726" s="97">
        <f>IF(AND(L726&lt;&gt;"Clôturée",F726&lt;&gt;""),TODAY()-F726,"")</f>
        <v/>
      </c>
    </row>
    <row r="727" ht="15" customHeight="1" s="59">
      <c r="C727" s="98">
        <f>IF(B727="","",IFERROR(VLOOKUP(B727,EQUIPEMENTS!A:B,2,0),""))</f>
        <v/>
      </c>
      <c r="F727" s="91" t="n"/>
      <c r="G727" s="91" t="n"/>
      <c r="O727" s="97">
        <f>IF(AND(L727&lt;&gt;"Clôturée",F727&lt;&gt;""),TODAY()-F727,"")</f>
        <v/>
      </c>
    </row>
    <row r="728" ht="15" customHeight="1" s="59">
      <c r="C728" s="98">
        <f>IF(B728="","",IFERROR(VLOOKUP(B728,EQUIPEMENTS!A:B,2,0),""))</f>
        <v/>
      </c>
      <c r="F728" s="91" t="n"/>
      <c r="G728" s="91" t="n"/>
      <c r="O728" s="97">
        <f>IF(AND(L728&lt;&gt;"Clôturée",F728&lt;&gt;""),TODAY()-F728,"")</f>
        <v/>
      </c>
    </row>
    <row r="729" ht="15" customHeight="1" s="59">
      <c r="C729" s="98">
        <f>IF(B729="","",IFERROR(VLOOKUP(B729,EQUIPEMENTS!A:B,2,0),""))</f>
        <v/>
      </c>
      <c r="F729" s="91" t="n"/>
      <c r="G729" s="91" t="n"/>
      <c r="O729" s="97">
        <f>IF(AND(L729&lt;&gt;"Clôturée",F729&lt;&gt;""),TODAY()-F729,"")</f>
        <v/>
      </c>
    </row>
    <row r="730" ht="15" customHeight="1" s="59">
      <c r="C730" s="98">
        <f>IF(B730="","",IFERROR(VLOOKUP(B730,EQUIPEMENTS!A:B,2,0),""))</f>
        <v/>
      </c>
      <c r="F730" s="91" t="n"/>
      <c r="G730" s="91" t="n"/>
      <c r="O730" s="97">
        <f>IF(AND(L730&lt;&gt;"Clôturée",F730&lt;&gt;""),TODAY()-F730,"")</f>
        <v/>
      </c>
    </row>
    <row r="731" ht="15" customHeight="1" s="59">
      <c r="C731" s="98">
        <f>IF(B731="","",IFERROR(VLOOKUP(B731,EQUIPEMENTS!A:B,2,0),""))</f>
        <v/>
      </c>
      <c r="F731" s="91" t="n"/>
      <c r="G731" s="91" t="n"/>
      <c r="O731" s="97">
        <f>IF(AND(L731&lt;&gt;"Clôturée",F731&lt;&gt;""),TODAY()-F731,"")</f>
        <v/>
      </c>
    </row>
    <row r="732" ht="15" customHeight="1" s="59">
      <c r="C732" s="98">
        <f>IF(B732="","",IFERROR(VLOOKUP(B732,EQUIPEMENTS!A:B,2,0),""))</f>
        <v/>
      </c>
      <c r="F732" s="91" t="n"/>
      <c r="G732" s="91" t="n"/>
      <c r="O732" s="97">
        <f>IF(AND(L732&lt;&gt;"Clôturée",F732&lt;&gt;""),TODAY()-F732,"")</f>
        <v/>
      </c>
    </row>
    <row r="733" ht="15" customHeight="1" s="59">
      <c r="C733" s="98">
        <f>IF(B733="","",IFERROR(VLOOKUP(B733,EQUIPEMENTS!A:B,2,0),""))</f>
        <v/>
      </c>
      <c r="F733" s="91" t="n"/>
      <c r="G733" s="91" t="n"/>
      <c r="O733" s="97">
        <f>IF(AND(L733&lt;&gt;"Clôturée",F733&lt;&gt;""),TODAY()-F733,"")</f>
        <v/>
      </c>
    </row>
    <row r="734" ht="15" customHeight="1" s="59">
      <c r="C734" s="98">
        <f>IF(B734="","",IFERROR(VLOOKUP(B734,EQUIPEMENTS!A:B,2,0),""))</f>
        <v/>
      </c>
      <c r="F734" s="91" t="n"/>
      <c r="G734" s="91" t="n"/>
      <c r="O734" s="97">
        <f>IF(AND(L734&lt;&gt;"Clôturée",F734&lt;&gt;""),TODAY()-F734,"")</f>
        <v/>
      </c>
    </row>
    <row r="735" ht="15" customHeight="1" s="59">
      <c r="C735" s="98">
        <f>IF(B735="","",IFERROR(VLOOKUP(B735,EQUIPEMENTS!A:B,2,0),""))</f>
        <v/>
      </c>
      <c r="F735" s="91" t="n"/>
      <c r="G735" s="91" t="n"/>
      <c r="O735" s="97">
        <f>IF(AND(L735&lt;&gt;"Clôturée",F735&lt;&gt;""),TODAY()-F735,"")</f>
        <v/>
      </c>
    </row>
    <row r="736" ht="15" customHeight="1" s="59">
      <c r="C736" s="98">
        <f>IF(B736="","",IFERROR(VLOOKUP(B736,EQUIPEMENTS!A:B,2,0),""))</f>
        <v/>
      </c>
      <c r="F736" s="91" t="n"/>
      <c r="G736" s="91" t="n"/>
      <c r="O736" s="97">
        <f>IF(AND(L736&lt;&gt;"Clôturée",F736&lt;&gt;""),TODAY()-F736,"")</f>
        <v/>
      </c>
    </row>
    <row r="737" ht="15" customHeight="1" s="59">
      <c r="C737" s="98">
        <f>IF(B737="","",IFERROR(VLOOKUP(B737,EQUIPEMENTS!A:B,2,0),""))</f>
        <v/>
      </c>
      <c r="F737" s="91" t="n"/>
      <c r="G737" s="91" t="n"/>
      <c r="O737" s="97">
        <f>IF(AND(L737&lt;&gt;"Clôturée",F737&lt;&gt;""),TODAY()-F737,"")</f>
        <v/>
      </c>
    </row>
    <row r="738" ht="15" customHeight="1" s="59">
      <c r="C738" s="98">
        <f>IF(B738="","",IFERROR(VLOOKUP(B738,EQUIPEMENTS!A:B,2,0),""))</f>
        <v/>
      </c>
      <c r="F738" s="91" t="n"/>
      <c r="G738" s="91" t="n"/>
      <c r="O738" s="97">
        <f>IF(AND(L738&lt;&gt;"Clôturée",F738&lt;&gt;""),TODAY()-F738,"")</f>
        <v/>
      </c>
    </row>
    <row r="739" ht="15" customHeight="1" s="59">
      <c r="C739" s="98">
        <f>IF(B739="","",IFERROR(VLOOKUP(B739,EQUIPEMENTS!A:B,2,0),""))</f>
        <v/>
      </c>
      <c r="F739" s="91" t="n"/>
      <c r="G739" s="91" t="n"/>
      <c r="O739" s="97">
        <f>IF(AND(L739&lt;&gt;"Clôturée",F739&lt;&gt;""),TODAY()-F739,"")</f>
        <v/>
      </c>
    </row>
    <row r="740" ht="15" customHeight="1" s="59">
      <c r="C740" s="98">
        <f>IF(B740="","",IFERROR(VLOOKUP(B740,EQUIPEMENTS!A:B,2,0),""))</f>
        <v/>
      </c>
      <c r="F740" s="91" t="n"/>
      <c r="G740" s="91" t="n"/>
      <c r="O740" s="97">
        <f>IF(AND(L740&lt;&gt;"Clôturée",F740&lt;&gt;""),TODAY()-F740,"")</f>
        <v/>
      </c>
    </row>
    <row r="741" ht="15" customHeight="1" s="59">
      <c r="C741" s="98">
        <f>IF(B741="","",IFERROR(VLOOKUP(B741,EQUIPEMENTS!A:B,2,0),""))</f>
        <v/>
      </c>
      <c r="F741" s="91" t="n"/>
      <c r="G741" s="91" t="n"/>
      <c r="O741" s="97">
        <f>IF(AND(L741&lt;&gt;"Clôturée",F741&lt;&gt;""),TODAY()-F741,"")</f>
        <v/>
      </c>
    </row>
    <row r="742" ht="15" customHeight="1" s="59">
      <c r="C742" s="98">
        <f>IF(B742="","",IFERROR(VLOOKUP(B742,EQUIPEMENTS!A:B,2,0),""))</f>
        <v/>
      </c>
      <c r="F742" s="91" t="n"/>
      <c r="G742" s="91" t="n"/>
      <c r="O742" s="97">
        <f>IF(AND(L742&lt;&gt;"Clôturée",F742&lt;&gt;""),TODAY()-F742,"")</f>
        <v/>
      </c>
    </row>
    <row r="743" ht="15" customHeight="1" s="59">
      <c r="C743" s="98">
        <f>IF(B743="","",IFERROR(VLOOKUP(B743,EQUIPEMENTS!A:B,2,0),""))</f>
        <v/>
      </c>
      <c r="F743" s="91" t="n"/>
      <c r="G743" s="91" t="n"/>
      <c r="O743" s="97">
        <f>IF(AND(L743&lt;&gt;"Clôturée",F743&lt;&gt;""),TODAY()-F743,"")</f>
        <v/>
      </c>
    </row>
    <row r="744" ht="15" customHeight="1" s="59">
      <c r="C744" s="98">
        <f>IF(B744="","",IFERROR(VLOOKUP(B744,EQUIPEMENTS!A:B,2,0),""))</f>
        <v/>
      </c>
      <c r="F744" s="91" t="n"/>
      <c r="G744" s="91" t="n"/>
      <c r="O744" s="97">
        <f>IF(AND(L744&lt;&gt;"Clôturée",F744&lt;&gt;""),TODAY()-F744,"")</f>
        <v/>
      </c>
    </row>
    <row r="745" ht="15" customHeight="1" s="59">
      <c r="C745" s="98">
        <f>IF(B745="","",IFERROR(VLOOKUP(B745,EQUIPEMENTS!A:B,2,0),""))</f>
        <v/>
      </c>
      <c r="F745" s="91" t="n"/>
      <c r="G745" s="91" t="n"/>
      <c r="O745" s="97">
        <f>IF(AND(L745&lt;&gt;"Clôturée",F745&lt;&gt;""),TODAY()-F745,"")</f>
        <v/>
      </c>
    </row>
    <row r="746" ht="15" customHeight="1" s="59">
      <c r="C746" s="98">
        <f>IF(B746="","",IFERROR(VLOOKUP(B746,EQUIPEMENTS!A:B,2,0),""))</f>
        <v/>
      </c>
      <c r="F746" s="91" t="n"/>
      <c r="G746" s="91" t="n"/>
      <c r="O746" s="97">
        <f>IF(AND(L746&lt;&gt;"Clôturée",F746&lt;&gt;""),TODAY()-F746,"")</f>
        <v/>
      </c>
    </row>
    <row r="747" ht="15" customHeight="1" s="59">
      <c r="C747" s="98">
        <f>IF(B747="","",IFERROR(VLOOKUP(B747,EQUIPEMENTS!A:B,2,0),""))</f>
        <v/>
      </c>
      <c r="F747" s="91" t="n"/>
      <c r="G747" s="91" t="n"/>
      <c r="O747" s="97">
        <f>IF(AND(L747&lt;&gt;"Clôturée",F747&lt;&gt;""),TODAY()-F747,"")</f>
        <v/>
      </c>
    </row>
    <row r="748" ht="15" customHeight="1" s="59">
      <c r="C748" s="98">
        <f>IF(B748="","",IFERROR(VLOOKUP(B748,EQUIPEMENTS!A:B,2,0),""))</f>
        <v/>
      </c>
      <c r="F748" s="91" t="n"/>
      <c r="G748" s="91" t="n"/>
      <c r="O748" s="97">
        <f>IF(AND(L748&lt;&gt;"Clôturée",F748&lt;&gt;""),TODAY()-F748,"")</f>
        <v/>
      </c>
    </row>
    <row r="749" ht="15" customHeight="1" s="59">
      <c r="C749" s="98">
        <f>IF(B749="","",IFERROR(VLOOKUP(B749,EQUIPEMENTS!A:B,2,0),""))</f>
        <v/>
      </c>
      <c r="F749" s="91" t="n"/>
      <c r="G749" s="91" t="n"/>
      <c r="O749" s="97">
        <f>IF(AND(L749&lt;&gt;"Clôturée",F749&lt;&gt;""),TODAY()-F749,"")</f>
        <v/>
      </c>
    </row>
    <row r="750" ht="15" customHeight="1" s="59">
      <c r="C750" s="98">
        <f>IF(B750="","",IFERROR(VLOOKUP(B750,EQUIPEMENTS!A:B,2,0),""))</f>
        <v/>
      </c>
      <c r="F750" s="91" t="n"/>
      <c r="G750" s="91" t="n"/>
      <c r="O750" s="97">
        <f>IF(AND(L750&lt;&gt;"Clôturée",F750&lt;&gt;""),TODAY()-F750,"")</f>
        <v/>
      </c>
    </row>
    <row r="751" ht="15" customHeight="1" s="59">
      <c r="C751" s="98">
        <f>IF(B751="","",IFERROR(VLOOKUP(B751,EQUIPEMENTS!A:B,2,0),""))</f>
        <v/>
      </c>
      <c r="F751" s="91" t="n"/>
      <c r="G751" s="91" t="n"/>
      <c r="O751" s="97">
        <f>IF(AND(L751&lt;&gt;"Clôturée",F751&lt;&gt;""),TODAY()-F751,"")</f>
        <v/>
      </c>
    </row>
    <row r="752" ht="15" customHeight="1" s="59">
      <c r="C752" s="98">
        <f>IF(B752="","",IFERROR(VLOOKUP(B752,EQUIPEMENTS!A:B,2,0),""))</f>
        <v/>
      </c>
      <c r="F752" s="91" t="n"/>
      <c r="G752" s="91" t="n"/>
      <c r="O752" s="97">
        <f>IF(AND(L752&lt;&gt;"Clôturée",F752&lt;&gt;""),TODAY()-F752,"")</f>
        <v/>
      </c>
    </row>
    <row r="753" ht="15" customHeight="1" s="59">
      <c r="C753" s="98">
        <f>IF(B753="","",IFERROR(VLOOKUP(B753,EQUIPEMENTS!A:B,2,0),""))</f>
        <v/>
      </c>
      <c r="F753" s="91" t="n"/>
      <c r="G753" s="91" t="n"/>
      <c r="O753" s="97">
        <f>IF(AND(L753&lt;&gt;"Clôturée",F753&lt;&gt;""),TODAY()-F753,"")</f>
        <v/>
      </c>
    </row>
    <row r="754" ht="15" customHeight="1" s="59">
      <c r="C754" s="98">
        <f>IF(B754="","",IFERROR(VLOOKUP(B754,EQUIPEMENTS!A:B,2,0),""))</f>
        <v/>
      </c>
      <c r="F754" s="91" t="n"/>
      <c r="G754" s="91" t="n"/>
      <c r="O754" s="97">
        <f>IF(AND(L754&lt;&gt;"Clôturée",F754&lt;&gt;""),TODAY()-F754,"")</f>
        <v/>
      </c>
    </row>
    <row r="755" ht="15" customHeight="1" s="59">
      <c r="C755" s="98">
        <f>IF(B755="","",IFERROR(VLOOKUP(B755,EQUIPEMENTS!A:B,2,0),""))</f>
        <v/>
      </c>
      <c r="F755" s="91" t="n"/>
      <c r="G755" s="91" t="n"/>
      <c r="O755" s="97">
        <f>IF(AND(L755&lt;&gt;"Clôturée",F755&lt;&gt;""),TODAY()-F755,"")</f>
        <v/>
      </c>
    </row>
    <row r="756" ht="15" customHeight="1" s="59">
      <c r="C756" s="98">
        <f>IF(B756="","",IFERROR(VLOOKUP(B756,EQUIPEMENTS!A:B,2,0),""))</f>
        <v/>
      </c>
      <c r="F756" s="91" t="n"/>
      <c r="G756" s="91" t="n"/>
      <c r="O756" s="97">
        <f>IF(AND(L756&lt;&gt;"Clôturée",F756&lt;&gt;""),TODAY()-F756,"")</f>
        <v/>
      </c>
    </row>
    <row r="757" ht="15" customHeight="1" s="59">
      <c r="C757" s="98">
        <f>IF(B757="","",IFERROR(VLOOKUP(B757,EQUIPEMENTS!A:B,2,0),""))</f>
        <v/>
      </c>
      <c r="F757" s="91" t="n"/>
      <c r="G757" s="91" t="n"/>
      <c r="O757" s="97">
        <f>IF(AND(L757&lt;&gt;"Clôturée",F757&lt;&gt;""),TODAY()-F757,"")</f>
        <v/>
      </c>
    </row>
    <row r="758" ht="15" customHeight="1" s="59">
      <c r="C758" s="98">
        <f>IF(B758="","",IFERROR(VLOOKUP(B758,EQUIPEMENTS!A:B,2,0),""))</f>
        <v/>
      </c>
      <c r="F758" s="91" t="n"/>
      <c r="G758" s="91" t="n"/>
      <c r="O758" s="97">
        <f>IF(AND(L758&lt;&gt;"Clôturée",F758&lt;&gt;""),TODAY()-F758,"")</f>
        <v/>
      </c>
    </row>
    <row r="759" ht="15" customHeight="1" s="59">
      <c r="C759" s="98">
        <f>IF(B759="","",IFERROR(VLOOKUP(B759,EQUIPEMENTS!A:B,2,0),""))</f>
        <v/>
      </c>
      <c r="F759" s="91" t="n"/>
      <c r="G759" s="91" t="n"/>
      <c r="O759" s="97">
        <f>IF(AND(L759&lt;&gt;"Clôturée",F759&lt;&gt;""),TODAY()-F759,"")</f>
        <v/>
      </c>
    </row>
    <row r="760" ht="15" customHeight="1" s="59">
      <c r="C760" s="98">
        <f>IF(B760="","",IFERROR(VLOOKUP(B760,EQUIPEMENTS!A:B,2,0),""))</f>
        <v/>
      </c>
      <c r="F760" s="91" t="n"/>
      <c r="G760" s="91" t="n"/>
      <c r="O760" s="97">
        <f>IF(AND(L760&lt;&gt;"Clôturée",F760&lt;&gt;""),TODAY()-F760,"")</f>
        <v/>
      </c>
    </row>
    <row r="761" ht="15" customHeight="1" s="59">
      <c r="C761" s="98">
        <f>IF(B761="","",IFERROR(VLOOKUP(B761,EQUIPEMENTS!A:B,2,0),""))</f>
        <v/>
      </c>
      <c r="F761" s="91" t="n"/>
      <c r="G761" s="91" t="n"/>
      <c r="O761" s="97">
        <f>IF(AND(L761&lt;&gt;"Clôturée",F761&lt;&gt;""),TODAY()-F761,"")</f>
        <v/>
      </c>
    </row>
    <row r="762" ht="15" customHeight="1" s="59">
      <c r="C762" s="98">
        <f>IF(B762="","",IFERROR(VLOOKUP(B762,EQUIPEMENTS!A:B,2,0),""))</f>
        <v/>
      </c>
      <c r="F762" s="91" t="n"/>
      <c r="G762" s="91" t="n"/>
      <c r="O762" s="97">
        <f>IF(AND(L762&lt;&gt;"Clôturée",F762&lt;&gt;""),TODAY()-F762,"")</f>
        <v/>
      </c>
    </row>
    <row r="763" ht="15" customHeight="1" s="59">
      <c r="C763" s="98">
        <f>IF(B763="","",IFERROR(VLOOKUP(B763,EQUIPEMENTS!A:B,2,0),""))</f>
        <v/>
      </c>
      <c r="F763" s="91" t="n"/>
      <c r="G763" s="91" t="n"/>
      <c r="O763" s="97">
        <f>IF(AND(L763&lt;&gt;"Clôturée",F763&lt;&gt;""),TODAY()-F763,"")</f>
        <v/>
      </c>
    </row>
    <row r="764" ht="15" customHeight="1" s="59">
      <c r="C764" s="98">
        <f>IF(B764="","",IFERROR(VLOOKUP(B764,EQUIPEMENTS!A:B,2,0),""))</f>
        <v/>
      </c>
      <c r="F764" s="91" t="n"/>
      <c r="G764" s="91" t="n"/>
      <c r="O764" s="97">
        <f>IF(AND(L764&lt;&gt;"Clôturée",F764&lt;&gt;""),TODAY()-F764,"")</f>
        <v/>
      </c>
    </row>
    <row r="765" ht="15" customHeight="1" s="59">
      <c r="C765" s="98">
        <f>IF(B765="","",IFERROR(VLOOKUP(B765,EQUIPEMENTS!A:B,2,0),""))</f>
        <v/>
      </c>
      <c r="F765" s="91" t="n"/>
      <c r="G765" s="91" t="n"/>
      <c r="O765" s="97">
        <f>IF(AND(L765&lt;&gt;"Clôturée",F765&lt;&gt;""),TODAY()-F765,"")</f>
        <v/>
      </c>
    </row>
    <row r="766" ht="15" customHeight="1" s="59">
      <c r="C766" s="98">
        <f>IF(B766="","",IFERROR(VLOOKUP(B766,EQUIPEMENTS!A:B,2,0),""))</f>
        <v/>
      </c>
      <c r="F766" s="91" t="n"/>
      <c r="G766" s="91" t="n"/>
      <c r="O766" s="97">
        <f>IF(AND(L766&lt;&gt;"Clôturée",F766&lt;&gt;""),TODAY()-F766,"")</f>
        <v/>
      </c>
    </row>
    <row r="767" ht="15" customHeight="1" s="59">
      <c r="C767" s="98">
        <f>IF(B767="","",IFERROR(VLOOKUP(B767,EQUIPEMENTS!A:B,2,0),""))</f>
        <v/>
      </c>
      <c r="F767" s="91" t="n"/>
      <c r="G767" s="91" t="n"/>
      <c r="O767" s="97">
        <f>IF(AND(L767&lt;&gt;"Clôturée",F767&lt;&gt;""),TODAY()-F767,"")</f>
        <v/>
      </c>
    </row>
    <row r="768" ht="15" customHeight="1" s="59">
      <c r="C768" s="98">
        <f>IF(B768="","",IFERROR(VLOOKUP(B768,EQUIPEMENTS!A:B,2,0),""))</f>
        <v/>
      </c>
      <c r="F768" s="91" t="n"/>
      <c r="G768" s="91" t="n"/>
      <c r="O768" s="97">
        <f>IF(AND(L768&lt;&gt;"Clôturée",F768&lt;&gt;""),TODAY()-F768,"")</f>
        <v/>
      </c>
    </row>
    <row r="769" ht="15" customHeight="1" s="59">
      <c r="C769" s="98">
        <f>IF(B769="","",IFERROR(VLOOKUP(B769,EQUIPEMENTS!A:B,2,0),""))</f>
        <v/>
      </c>
      <c r="F769" s="91" t="n"/>
      <c r="G769" s="91" t="n"/>
      <c r="O769" s="97">
        <f>IF(AND(L769&lt;&gt;"Clôturée",F769&lt;&gt;""),TODAY()-F769,"")</f>
        <v/>
      </c>
    </row>
    <row r="770" ht="15" customHeight="1" s="59">
      <c r="C770" s="98">
        <f>IF(B770="","",IFERROR(VLOOKUP(B770,EQUIPEMENTS!A:B,2,0),""))</f>
        <v/>
      </c>
      <c r="F770" s="91" t="n"/>
      <c r="G770" s="91" t="n"/>
      <c r="O770" s="97">
        <f>IF(AND(L770&lt;&gt;"Clôturée",F770&lt;&gt;""),TODAY()-F770,"")</f>
        <v/>
      </c>
    </row>
    <row r="771" ht="15" customHeight="1" s="59">
      <c r="C771" s="98">
        <f>IF(B771="","",IFERROR(VLOOKUP(B771,EQUIPEMENTS!A:B,2,0),""))</f>
        <v/>
      </c>
      <c r="F771" s="91" t="n"/>
      <c r="G771" s="91" t="n"/>
      <c r="O771" s="97">
        <f>IF(AND(L771&lt;&gt;"Clôturée",F771&lt;&gt;""),TODAY()-F771,"")</f>
        <v/>
      </c>
    </row>
    <row r="772" ht="15" customHeight="1" s="59">
      <c r="C772" s="98">
        <f>IF(B772="","",IFERROR(VLOOKUP(B772,EQUIPEMENTS!A:B,2,0),""))</f>
        <v/>
      </c>
      <c r="F772" s="91" t="n"/>
      <c r="G772" s="91" t="n"/>
      <c r="O772" s="97">
        <f>IF(AND(L772&lt;&gt;"Clôturée",F772&lt;&gt;""),TODAY()-F772,"")</f>
        <v/>
      </c>
    </row>
    <row r="773" ht="15" customHeight="1" s="59">
      <c r="C773" s="98">
        <f>IF(B773="","",IFERROR(VLOOKUP(B773,EQUIPEMENTS!A:B,2,0),""))</f>
        <v/>
      </c>
      <c r="F773" s="91" t="n"/>
      <c r="G773" s="91" t="n"/>
      <c r="O773" s="97">
        <f>IF(AND(L773&lt;&gt;"Clôturée",F773&lt;&gt;""),TODAY()-F773,"")</f>
        <v/>
      </c>
    </row>
    <row r="774" ht="15" customHeight="1" s="59">
      <c r="C774" s="98">
        <f>IF(B774="","",IFERROR(VLOOKUP(B774,EQUIPEMENTS!A:B,2,0),""))</f>
        <v/>
      </c>
      <c r="F774" s="91" t="n"/>
      <c r="G774" s="91" t="n"/>
      <c r="O774" s="97">
        <f>IF(AND(L774&lt;&gt;"Clôturée",F774&lt;&gt;""),TODAY()-F774,"")</f>
        <v/>
      </c>
    </row>
    <row r="775" ht="15" customHeight="1" s="59">
      <c r="C775" s="98">
        <f>IF(B775="","",IFERROR(VLOOKUP(B775,EQUIPEMENTS!A:B,2,0),""))</f>
        <v/>
      </c>
      <c r="F775" s="91" t="n"/>
      <c r="G775" s="91" t="n"/>
      <c r="O775" s="97">
        <f>IF(AND(L775&lt;&gt;"Clôturée",F775&lt;&gt;""),TODAY()-F775,"")</f>
        <v/>
      </c>
    </row>
    <row r="776" ht="15" customHeight="1" s="59">
      <c r="C776" s="98">
        <f>IF(B776="","",IFERROR(VLOOKUP(B776,EQUIPEMENTS!A:B,2,0),""))</f>
        <v/>
      </c>
      <c r="F776" s="91" t="n"/>
      <c r="G776" s="91" t="n"/>
      <c r="O776" s="97">
        <f>IF(AND(L776&lt;&gt;"Clôturée",F776&lt;&gt;""),TODAY()-F776,"")</f>
        <v/>
      </c>
    </row>
    <row r="777" ht="15" customHeight="1" s="59">
      <c r="C777" s="98">
        <f>IF(B777="","",IFERROR(VLOOKUP(B777,EQUIPEMENTS!A:B,2,0),""))</f>
        <v/>
      </c>
      <c r="F777" s="91" t="n"/>
      <c r="G777" s="91" t="n"/>
      <c r="O777" s="97">
        <f>IF(AND(L777&lt;&gt;"Clôturée",F777&lt;&gt;""),TODAY()-F777,"")</f>
        <v/>
      </c>
    </row>
    <row r="778" ht="15" customHeight="1" s="59">
      <c r="C778" s="98">
        <f>IF(B778="","",IFERROR(VLOOKUP(B778,EQUIPEMENTS!A:B,2,0),""))</f>
        <v/>
      </c>
      <c r="F778" s="91" t="n"/>
      <c r="G778" s="91" t="n"/>
      <c r="O778" s="97">
        <f>IF(AND(L778&lt;&gt;"Clôturée",F778&lt;&gt;""),TODAY()-F778,"")</f>
        <v/>
      </c>
    </row>
    <row r="779" ht="15" customHeight="1" s="59">
      <c r="C779" s="98">
        <f>IF(B779="","",IFERROR(VLOOKUP(B779,EQUIPEMENTS!A:B,2,0),""))</f>
        <v/>
      </c>
      <c r="F779" s="91" t="n"/>
      <c r="G779" s="91" t="n"/>
      <c r="O779" s="97">
        <f>IF(AND(L779&lt;&gt;"Clôturée",F779&lt;&gt;""),TODAY()-F779,"")</f>
        <v/>
      </c>
    </row>
    <row r="780" ht="15" customHeight="1" s="59">
      <c r="C780" s="98">
        <f>IF(B780="","",IFERROR(VLOOKUP(B780,EQUIPEMENTS!A:B,2,0),""))</f>
        <v/>
      </c>
      <c r="F780" s="91" t="n"/>
      <c r="G780" s="91" t="n"/>
      <c r="O780" s="97">
        <f>IF(AND(L780&lt;&gt;"Clôturée",F780&lt;&gt;""),TODAY()-F780,"")</f>
        <v/>
      </c>
    </row>
    <row r="781" ht="15" customHeight="1" s="59">
      <c r="C781" s="98">
        <f>IF(B781="","",IFERROR(VLOOKUP(B781,EQUIPEMENTS!A:B,2,0),""))</f>
        <v/>
      </c>
      <c r="F781" s="91" t="n"/>
      <c r="G781" s="91" t="n"/>
      <c r="O781" s="97">
        <f>IF(AND(L781&lt;&gt;"Clôturée",F781&lt;&gt;""),TODAY()-F781,"")</f>
        <v/>
      </c>
    </row>
    <row r="782" ht="15" customHeight="1" s="59">
      <c r="C782" s="98">
        <f>IF(B782="","",IFERROR(VLOOKUP(B782,EQUIPEMENTS!A:B,2,0),""))</f>
        <v/>
      </c>
      <c r="F782" s="91" t="n"/>
      <c r="G782" s="91" t="n"/>
      <c r="O782" s="97">
        <f>IF(AND(L782&lt;&gt;"Clôturée",F782&lt;&gt;""),TODAY()-F782,"")</f>
        <v/>
      </c>
    </row>
    <row r="783" ht="15" customHeight="1" s="59">
      <c r="C783" s="98">
        <f>IF(B783="","",IFERROR(VLOOKUP(B783,EQUIPEMENTS!A:B,2,0),""))</f>
        <v/>
      </c>
      <c r="F783" s="91" t="n"/>
      <c r="G783" s="91" t="n"/>
      <c r="O783" s="97">
        <f>IF(AND(L783&lt;&gt;"Clôturée",F783&lt;&gt;""),TODAY()-F783,"")</f>
        <v/>
      </c>
    </row>
    <row r="784" ht="15" customHeight="1" s="59">
      <c r="C784" s="98">
        <f>IF(B784="","",IFERROR(VLOOKUP(B784,EQUIPEMENTS!A:B,2,0),""))</f>
        <v/>
      </c>
      <c r="F784" s="91" t="n"/>
      <c r="G784" s="91" t="n"/>
      <c r="O784" s="97">
        <f>IF(AND(L784&lt;&gt;"Clôturée",F784&lt;&gt;""),TODAY()-F784,"")</f>
        <v/>
      </c>
    </row>
    <row r="785" ht="15" customHeight="1" s="59">
      <c r="C785" s="98">
        <f>IF(B785="","",IFERROR(VLOOKUP(B785,EQUIPEMENTS!A:B,2,0),""))</f>
        <v/>
      </c>
      <c r="F785" s="91" t="n"/>
      <c r="G785" s="91" t="n"/>
      <c r="O785" s="97">
        <f>IF(AND(L785&lt;&gt;"Clôturée",F785&lt;&gt;""),TODAY()-F785,"")</f>
        <v/>
      </c>
    </row>
    <row r="786" ht="15" customHeight="1" s="59">
      <c r="C786" s="98">
        <f>IF(B786="","",IFERROR(VLOOKUP(B786,EQUIPEMENTS!A:B,2,0),""))</f>
        <v/>
      </c>
      <c r="F786" s="91" t="n"/>
      <c r="G786" s="91" t="n"/>
      <c r="O786" s="97">
        <f>IF(AND(L786&lt;&gt;"Clôturée",F786&lt;&gt;""),TODAY()-F786,"")</f>
        <v/>
      </c>
    </row>
    <row r="787" ht="15" customHeight="1" s="59">
      <c r="C787" s="98">
        <f>IF(B787="","",IFERROR(VLOOKUP(B787,EQUIPEMENTS!A:B,2,0),""))</f>
        <v/>
      </c>
      <c r="F787" s="91" t="n"/>
      <c r="G787" s="91" t="n"/>
      <c r="O787" s="97">
        <f>IF(AND(L787&lt;&gt;"Clôturée",F787&lt;&gt;""),TODAY()-F787,"")</f>
        <v/>
      </c>
    </row>
    <row r="788" ht="15" customHeight="1" s="59">
      <c r="C788" s="98">
        <f>IF(B788="","",IFERROR(VLOOKUP(B788,EQUIPEMENTS!A:B,2,0),""))</f>
        <v/>
      </c>
      <c r="F788" s="91" t="n"/>
      <c r="G788" s="91" t="n"/>
      <c r="O788" s="97">
        <f>IF(AND(L788&lt;&gt;"Clôturée",F788&lt;&gt;""),TODAY()-F788,"")</f>
        <v/>
      </c>
    </row>
    <row r="789" ht="15" customHeight="1" s="59">
      <c r="C789" s="98">
        <f>IF(B789="","",IFERROR(VLOOKUP(B789,EQUIPEMENTS!A:B,2,0),""))</f>
        <v/>
      </c>
      <c r="F789" s="91" t="n"/>
      <c r="G789" s="91" t="n"/>
      <c r="O789" s="97">
        <f>IF(AND(L789&lt;&gt;"Clôturée",F789&lt;&gt;""),TODAY()-F789,"")</f>
        <v/>
      </c>
    </row>
    <row r="790" ht="15" customHeight="1" s="59">
      <c r="C790" s="98">
        <f>IF(B790="","",IFERROR(VLOOKUP(B790,EQUIPEMENTS!A:B,2,0),""))</f>
        <v/>
      </c>
      <c r="F790" s="91" t="n"/>
      <c r="G790" s="91" t="n"/>
      <c r="O790" s="97">
        <f>IF(AND(L790&lt;&gt;"Clôturée",F790&lt;&gt;""),TODAY()-F790,"")</f>
        <v/>
      </c>
    </row>
    <row r="791" ht="15" customHeight="1" s="59">
      <c r="C791" s="98">
        <f>IF(B791="","",IFERROR(VLOOKUP(B791,EQUIPEMENTS!A:B,2,0),""))</f>
        <v/>
      </c>
      <c r="F791" s="91" t="n"/>
      <c r="G791" s="91" t="n"/>
      <c r="O791" s="97">
        <f>IF(AND(L791&lt;&gt;"Clôturée",F791&lt;&gt;""),TODAY()-F791,"")</f>
        <v/>
      </c>
    </row>
    <row r="792" ht="15" customHeight="1" s="59">
      <c r="C792" s="98">
        <f>IF(B792="","",IFERROR(VLOOKUP(B792,EQUIPEMENTS!A:B,2,0),""))</f>
        <v/>
      </c>
      <c r="F792" s="91" t="n"/>
      <c r="G792" s="91" t="n"/>
      <c r="O792" s="97">
        <f>IF(AND(L792&lt;&gt;"Clôturée",F792&lt;&gt;""),TODAY()-F792,"")</f>
        <v/>
      </c>
    </row>
    <row r="793" ht="15" customHeight="1" s="59">
      <c r="C793" s="98">
        <f>IF(B793="","",IFERROR(VLOOKUP(B793,EQUIPEMENTS!A:B,2,0),""))</f>
        <v/>
      </c>
      <c r="F793" s="91" t="n"/>
      <c r="G793" s="91" t="n"/>
      <c r="O793" s="97">
        <f>IF(AND(L793&lt;&gt;"Clôturée",F793&lt;&gt;""),TODAY()-F793,"")</f>
        <v/>
      </c>
    </row>
    <row r="794" ht="15" customHeight="1" s="59">
      <c r="C794" s="98">
        <f>IF(B794="","",IFERROR(VLOOKUP(B794,EQUIPEMENTS!A:B,2,0),""))</f>
        <v/>
      </c>
      <c r="F794" s="91" t="n"/>
      <c r="G794" s="91" t="n"/>
      <c r="O794" s="97">
        <f>IF(AND(L794&lt;&gt;"Clôturée",F794&lt;&gt;""),TODAY()-F794,"")</f>
        <v/>
      </c>
    </row>
    <row r="795" ht="15" customHeight="1" s="59">
      <c r="C795" s="98">
        <f>IF(B795="","",IFERROR(VLOOKUP(B795,EQUIPEMENTS!A:B,2,0),""))</f>
        <v/>
      </c>
      <c r="F795" s="91" t="n"/>
      <c r="G795" s="91" t="n"/>
      <c r="O795" s="97">
        <f>IF(AND(L795&lt;&gt;"Clôturée",F795&lt;&gt;""),TODAY()-F795,"")</f>
        <v/>
      </c>
    </row>
    <row r="796" ht="15" customHeight="1" s="59">
      <c r="C796" s="98">
        <f>IF(B796="","",IFERROR(VLOOKUP(B796,EQUIPEMENTS!A:B,2,0),""))</f>
        <v/>
      </c>
      <c r="F796" s="91" t="n"/>
      <c r="G796" s="91" t="n"/>
      <c r="O796" s="97">
        <f>IF(AND(L796&lt;&gt;"Clôturée",F796&lt;&gt;""),TODAY()-F796,"")</f>
        <v/>
      </c>
    </row>
    <row r="797" ht="15" customHeight="1" s="59">
      <c r="C797" s="98">
        <f>IF(B797="","",IFERROR(VLOOKUP(B797,EQUIPEMENTS!A:B,2,0),""))</f>
        <v/>
      </c>
      <c r="F797" s="91" t="n"/>
      <c r="G797" s="91" t="n"/>
      <c r="O797" s="97">
        <f>IF(AND(L797&lt;&gt;"Clôturée",F797&lt;&gt;""),TODAY()-F797,"")</f>
        <v/>
      </c>
    </row>
    <row r="798" ht="15" customHeight="1" s="59">
      <c r="C798" s="98">
        <f>IF(B798="","",IFERROR(VLOOKUP(B798,EQUIPEMENTS!A:B,2,0),""))</f>
        <v/>
      </c>
      <c r="F798" s="91" t="n"/>
      <c r="G798" s="91" t="n"/>
      <c r="O798" s="97">
        <f>IF(AND(L798&lt;&gt;"Clôturée",F798&lt;&gt;""),TODAY()-F798,"")</f>
        <v/>
      </c>
    </row>
    <row r="799" ht="15" customHeight="1" s="59">
      <c r="C799" s="98">
        <f>IF(B799="","",IFERROR(VLOOKUP(B799,EQUIPEMENTS!A:B,2,0),""))</f>
        <v/>
      </c>
      <c r="F799" s="91" t="n"/>
      <c r="G799" s="91" t="n"/>
      <c r="O799" s="97">
        <f>IF(AND(L799&lt;&gt;"Clôturée",F799&lt;&gt;""),TODAY()-F799,"")</f>
        <v/>
      </c>
    </row>
    <row r="800" ht="15" customHeight="1" s="59">
      <c r="C800" s="98">
        <f>IF(B800="","",IFERROR(VLOOKUP(B800,EQUIPEMENTS!A:B,2,0),""))</f>
        <v/>
      </c>
      <c r="F800" s="91" t="n"/>
      <c r="G800" s="91" t="n"/>
      <c r="O800" s="97">
        <f>IF(AND(L800&lt;&gt;"Clôturée",F800&lt;&gt;""),TODAY()-F800,"")</f>
        <v/>
      </c>
    </row>
    <row r="801" ht="15" customHeight="1" s="59">
      <c r="C801" s="98">
        <f>IF(B801="","",IFERROR(VLOOKUP(B801,EQUIPEMENTS!A:B,2,0),""))</f>
        <v/>
      </c>
      <c r="F801" s="91" t="n"/>
      <c r="G801" s="91" t="n"/>
      <c r="O801" s="97">
        <f>IF(AND(L801&lt;&gt;"Clôturée",F801&lt;&gt;""),TODAY()-F801,"")</f>
        <v/>
      </c>
    </row>
    <row r="802" ht="15" customHeight="1" s="59">
      <c r="C802" s="98">
        <f>IF(B802="","",IFERROR(VLOOKUP(B802,EQUIPEMENTS!A:B,2,0),""))</f>
        <v/>
      </c>
      <c r="F802" s="91" t="n"/>
      <c r="G802" s="91" t="n"/>
      <c r="O802" s="97">
        <f>IF(AND(L802&lt;&gt;"Clôturée",F802&lt;&gt;""),TODAY()-F802,"")</f>
        <v/>
      </c>
    </row>
    <row r="803" ht="15" customHeight="1" s="59">
      <c r="C803" s="98">
        <f>IF(B803="","",IFERROR(VLOOKUP(B803,EQUIPEMENTS!A:B,2,0),""))</f>
        <v/>
      </c>
      <c r="F803" s="91" t="n"/>
      <c r="G803" s="91" t="n"/>
      <c r="O803" s="97">
        <f>IF(AND(L803&lt;&gt;"Clôturée",F803&lt;&gt;""),TODAY()-F803,"")</f>
        <v/>
      </c>
    </row>
    <row r="804" ht="15" customHeight="1" s="59">
      <c r="C804" s="98">
        <f>IF(B804="","",IFERROR(VLOOKUP(B804,EQUIPEMENTS!A:B,2,0),""))</f>
        <v/>
      </c>
      <c r="F804" s="91" t="n"/>
      <c r="G804" s="91" t="n"/>
      <c r="O804" s="97">
        <f>IF(AND(L804&lt;&gt;"Clôturée",F804&lt;&gt;""),TODAY()-F804,"")</f>
        <v/>
      </c>
    </row>
    <row r="805" ht="15" customHeight="1" s="59">
      <c r="C805" s="98">
        <f>IF(B805="","",IFERROR(VLOOKUP(B805,EQUIPEMENTS!A:B,2,0),""))</f>
        <v/>
      </c>
      <c r="F805" s="91" t="n"/>
      <c r="G805" s="91" t="n"/>
      <c r="O805" s="97">
        <f>IF(AND(L805&lt;&gt;"Clôturée",F805&lt;&gt;""),TODAY()-F805,"")</f>
        <v/>
      </c>
    </row>
    <row r="806" ht="15" customHeight="1" s="59">
      <c r="C806" s="98">
        <f>IF(B806="","",IFERROR(VLOOKUP(B806,EQUIPEMENTS!A:B,2,0),""))</f>
        <v/>
      </c>
      <c r="F806" s="91" t="n"/>
      <c r="G806" s="91" t="n"/>
      <c r="O806" s="97">
        <f>IF(AND(L806&lt;&gt;"Clôturée",F806&lt;&gt;""),TODAY()-F806,"")</f>
        <v/>
      </c>
    </row>
    <row r="807" ht="15" customHeight="1" s="59">
      <c r="C807" s="98">
        <f>IF(B807="","",IFERROR(VLOOKUP(B807,EQUIPEMENTS!A:B,2,0),""))</f>
        <v/>
      </c>
      <c r="F807" s="91" t="n"/>
      <c r="G807" s="91" t="n"/>
      <c r="O807" s="97">
        <f>IF(AND(L807&lt;&gt;"Clôturée",F807&lt;&gt;""),TODAY()-F807,"")</f>
        <v/>
      </c>
    </row>
    <row r="808" ht="15" customHeight="1" s="59">
      <c r="C808" s="98">
        <f>IF(B808="","",IFERROR(VLOOKUP(B808,EQUIPEMENTS!A:B,2,0),""))</f>
        <v/>
      </c>
      <c r="F808" s="91" t="n"/>
      <c r="G808" s="91" t="n"/>
      <c r="O808" s="97">
        <f>IF(AND(L808&lt;&gt;"Clôturée",F808&lt;&gt;""),TODAY()-F808,"")</f>
        <v/>
      </c>
    </row>
    <row r="809" ht="15" customHeight="1" s="59">
      <c r="C809" s="98">
        <f>IF(B809="","",IFERROR(VLOOKUP(B809,EQUIPEMENTS!A:B,2,0),""))</f>
        <v/>
      </c>
      <c r="F809" s="91" t="n"/>
      <c r="G809" s="91" t="n"/>
      <c r="O809" s="97">
        <f>IF(AND(L809&lt;&gt;"Clôturée",F809&lt;&gt;""),TODAY()-F809,"")</f>
        <v/>
      </c>
    </row>
    <row r="810" ht="15" customHeight="1" s="59">
      <c r="C810" s="98">
        <f>IF(B810="","",IFERROR(VLOOKUP(B810,EQUIPEMENTS!A:B,2,0),""))</f>
        <v/>
      </c>
      <c r="F810" s="91" t="n"/>
      <c r="G810" s="91" t="n"/>
      <c r="O810" s="97">
        <f>IF(AND(L810&lt;&gt;"Clôturée",F810&lt;&gt;""),TODAY()-F810,"")</f>
        <v/>
      </c>
    </row>
    <row r="811" ht="15" customHeight="1" s="59">
      <c r="C811" s="98">
        <f>IF(B811="","",IFERROR(VLOOKUP(B811,EQUIPEMENTS!A:B,2,0),""))</f>
        <v/>
      </c>
      <c r="F811" s="91" t="n"/>
      <c r="G811" s="91" t="n"/>
      <c r="O811" s="97">
        <f>IF(AND(L811&lt;&gt;"Clôturée",F811&lt;&gt;""),TODAY()-F811,"")</f>
        <v/>
      </c>
    </row>
    <row r="812" ht="15" customHeight="1" s="59">
      <c r="C812" s="98">
        <f>IF(B812="","",IFERROR(VLOOKUP(B812,EQUIPEMENTS!A:B,2,0),""))</f>
        <v/>
      </c>
      <c r="F812" s="91" t="n"/>
      <c r="G812" s="91" t="n"/>
      <c r="O812" s="97">
        <f>IF(AND(L812&lt;&gt;"Clôturée",F812&lt;&gt;""),TODAY()-F812,"")</f>
        <v/>
      </c>
    </row>
    <row r="813" ht="15" customHeight="1" s="59">
      <c r="C813" s="98">
        <f>IF(B813="","",IFERROR(VLOOKUP(B813,EQUIPEMENTS!A:B,2,0),""))</f>
        <v/>
      </c>
      <c r="F813" s="91" t="n"/>
      <c r="G813" s="91" t="n"/>
      <c r="O813" s="97">
        <f>IF(AND(L813&lt;&gt;"Clôturée",F813&lt;&gt;""),TODAY()-F813,"")</f>
        <v/>
      </c>
    </row>
    <row r="814" ht="15" customHeight="1" s="59">
      <c r="C814" s="98">
        <f>IF(B814="","",IFERROR(VLOOKUP(B814,EQUIPEMENTS!A:B,2,0),""))</f>
        <v/>
      </c>
      <c r="F814" s="91" t="n"/>
      <c r="G814" s="91" t="n"/>
      <c r="O814" s="97">
        <f>IF(AND(L814&lt;&gt;"Clôturée",F814&lt;&gt;""),TODAY()-F814,"")</f>
        <v/>
      </c>
    </row>
    <row r="815" ht="15" customHeight="1" s="59">
      <c r="C815" s="98">
        <f>IF(B815="","",IFERROR(VLOOKUP(B815,EQUIPEMENTS!A:B,2,0),""))</f>
        <v/>
      </c>
      <c r="F815" s="91" t="n"/>
      <c r="G815" s="91" t="n"/>
      <c r="O815" s="97">
        <f>IF(AND(L815&lt;&gt;"Clôturée",F815&lt;&gt;""),TODAY()-F815,"")</f>
        <v/>
      </c>
    </row>
    <row r="816" ht="15" customHeight="1" s="59">
      <c r="C816" s="98">
        <f>IF(B816="","",IFERROR(VLOOKUP(B816,EQUIPEMENTS!A:B,2,0),""))</f>
        <v/>
      </c>
      <c r="F816" s="91" t="n"/>
      <c r="G816" s="91" t="n"/>
      <c r="O816" s="97">
        <f>IF(AND(L816&lt;&gt;"Clôturée",F816&lt;&gt;""),TODAY()-F816,"")</f>
        <v/>
      </c>
    </row>
    <row r="817" ht="15" customHeight="1" s="59">
      <c r="C817" s="98">
        <f>IF(B817="","",IFERROR(VLOOKUP(B817,EQUIPEMENTS!A:B,2,0),""))</f>
        <v/>
      </c>
      <c r="F817" s="91" t="n"/>
      <c r="G817" s="91" t="n"/>
      <c r="O817" s="97">
        <f>IF(AND(L817&lt;&gt;"Clôturée",F817&lt;&gt;""),TODAY()-F817,"")</f>
        <v/>
      </c>
    </row>
    <row r="818" ht="15" customHeight="1" s="59">
      <c r="C818" s="98">
        <f>IF(B818="","",IFERROR(VLOOKUP(B818,EQUIPEMENTS!A:B,2,0),""))</f>
        <v/>
      </c>
      <c r="F818" s="91" t="n"/>
      <c r="G818" s="91" t="n"/>
      <c r="O818" s="97">
        <f>IF(AND(L818&lt;&gt;"Clôturée",F818&lt;&gt;""),TODAY()-F818,"")</f>
        <v/>
      </c>
    </row>
    <row r="819" ht="15" customHeight="1" s="59">
      <c r="C819" s="98">
        <f>IF(B819="","",IFERROR(VLOOKUP(B819,EQUIPEMENTS!A:B,2,0),""))</f>
        <v/>
      </c>
      <c r="F819" s="91" t="n"/>
      <c r="G819" s="91" t="n"/>
      <c r="O819" s="97">
        <f>IF(AND(L819&lt;&gt;"Clôturée",F819&lt;&gt;""),TODAY()-F819,"")</f>
        <v/>
      </c>
    </row>
    <row r="820" ht="15" customHeight="1" s="59">
      <c r="C820" s="98">
        <f>IF(B820="","",IFERROR(VLOOKUP(B820,EQUIPEMENTS!A:B,2,0),""))</f>
        <v/>
      </c>
      <c r="F820" s="91" t="n"/>
      <c r="G820" s="91" t="n"/>
      <c r="O820" s="97">
        <f>IF(AND(L820&lt;&gt;"Clôturée",F820&lt;&gt;""),TODAY()-F820,"")</f>
        <v/>
      </c>
    </row>
    <row r="821" ht="15" customHeight="1" s="59">
      <c r="C821" s="98">
        <f>IF(B821="","",IFERROR(VLOOKUP(B821,EQUIPEMENTS!A:B,2,0),""))</f>
        <v/>
      </c>
      <c r="F821" s="91" t="n"/>
      <c r="G821" s="91" t="n"/>
      <c r="O821" s="97">
        <f>IF(AND(L821&lt;&gt;"Clôturée",F821&lt;&gt;""),TODAY()-F821,"")</f>
        <v/>
      </c>
    </row>
    <row r="822" ht="15" customHeight="1" s="59">
      <c r="C822" s="98">
        <f>IF(B822="","",IFERROR(VLOOKUP(B822,EQUIPEMENTS!A:B,2,0),""))</f>
        <v/>
      </c>
      <c r="F822" s="91" t="n"/>
      <c r="G822" s="91" t="n"/>
      <c r="O822" s="97">
        <f>IF(AND(L822&lt;&gt;"Clôturée",F822&lt;&gt;""),TODAY()-F822,"")</f>
        <v/>
      </c>
    </row>
    <row r="823" ht="15" customHeight="1" s="59">
      <c r="C823" s="98">
        <f>IF(B823="","",IFERROR(VLOOKUP(B823,EQUIPEMENTS!A:B,2,0),""))</f>
        <v/>
      </c>
      <c r="F823" s="91" t="n"/>
      <c r="G823" s="91" t="n"/>
      <c r="O823" s="97">
        <f>IF(AND(L823&lt;&gt;"Clôturée",F823&lt;&gt;""),TODAY()-F823,"")</f>
        <v/>
      </c>
    </row>
    <row r="824" ht="15" customHeight="1" s="59">
      <c r="C824" s="98">
        <f>IF(B824="","",IFERROR(VLOOKUP(B824,EQUIPEMENTS!A:B,2,0),""))</f>
        <v/>
      </c>
      <c r="F824" s="91" t="n"/>
      <c r="G824" s="91" t="n"/>
      <c r="O824" s="97">
        <f>IF(AND(L824&lt;&gt;"Clôturée",F824&lt;&gt;""),TODAY()-F824,"")</f>
        <v/>
      </c>
    </row>
    <row r="825" ht="15" customHeight="1" s="59">
      <c r="C825" s="98">
        <f>IF(B825="","",IFERROR(VLOOKUP(B825,EQUIPEMENTS!A:B,2,0),""))</f>
        <v/>
      </c>
      <c r="F825" s="91" t="n"/>
      <c r="G825" s="91" t="n"/>
      <c r="O825" s="97">
        <f>IF(AND(L825&lt;&gt;"Clôturée",F825&lt;&gt;""),TODAY()-F825,"")</f>
        <v/>
      </c>
    </row>
    <row r="826" ht="15" customHeight="1" s="59">
      <c r="C826" s="98">
        <f>IF(B826="","",IFERROR(VLOOKUP(B826,EQUIPEMENTS!A:B,2,0),""))</f>
        <v/>
      </c>
      <c r="F826" s="91" t="n"/>
      <c r="G826" s="91" t="n"/>
      <c r="O826" s="97">
        <f>IF(AND(L826&lt;&gt;"Clôturée",F826&lt;&gt;""),TODAY()-F826,"")</f>
        <v/>
      </c>
    </row>
    <row r="827" ht="15" customHeight="1" s="59">
      <c r="C827" s="98">
        <f>IF(B827="","",IFERROR(VLOOKUP(B827,EQUIPEMENTS!A:B,2,0),""))</f>
        <v/>
      </c>
      <c r="F827" s="91" t="n"/>
      <c r="G827" s="91" t="n"/>
      <c r="O827" s="97">
        <f>IF(AND(L827&lt;&gt;"Clôturée",F827&lt;&gt;""),TODAY()-F827,"")</f>
        <v/>
      </c>
    </row>
    <row r="828" ht="15" customHeight="1" s="59">
      <c r="C828" s="98">
        <f>IF(B828="","",IFERROR(VLOOKUP(B828,EQUIPEMENTS!A:B,2,0),""))</f>
        <v/>
      </c>
      <c r="F828" s="91" t="n"/>
      <c r="G828" s="91" t="n"/>
      <c r="O828" s="97">
        <f>IF(AND(L828&lt;&gt;"Clôturée",F828&lt;&gt;""),TODAY()-F828,"")</f>
        <v/>
      </c>
    </row>
    <row r="829" ht="15" customHeight="1" s="59">
      <c r="C829" s="98">
        <f>IF(B829="","",IFERROR(VLOOKUP(B829,EQUIPEMENTS!A:B,2,0),""))</f>
        <v/>
      </c>
      <c r="F829" s="91" t="n"/>
      <c r="G829" s="91" t="n"/>
      <c r="O829" s="97">
        <f>IF(AND(L829&lt;&gt;"Clôturée",F829&lt;&gt;""),TODAY()-F829,"")</f>
        <v/>
      </c>
    </row>
    <row r="830" ht="15" customHeight="1" s="59">
      <c r="C830" s="98">
        <f>IF(B830="","",IFERROR(VLOOKUP(B830,EQUIPEMENTS!A:B,2,0),""))</f>
        <v/>
      </c>
      <c r="F830" s="91" t="n"/>
      <c r="G830" s="91" t="n"/>
      <c r="O830" s="97">
        <f>IF(AND(L830&lt;&gt;"Clôturée",F830&lt;&gt;""),TODAY()-F830,"")</f>
        <v/>
      </c>
    </row>
    <row r="831" ht="15" customHeight="1" s="59">
      <c r="C831" s="98">
        <f>IF(B831="","",IFERROR(VLOOKUP(B831,EQUIPEMENTS!A:B,2,0),""))</f>
        <v/>
      </c>
      <c r="F831" s="91" t="n"/>
      <c r="G831" s="91" t="n"/>
      <c r="O831" s="97">
        <f>IF(AND(L831&lt;&gt;"Clôturée",F831&lt;&gt;""),TODAY()-F831,"")</f>
        <v/>
      </c>
    </row>
    <row r="832" ht="15" customHeight="1" s="59">
      <c r="C832" s="98">
        <f>IF(B832="","",IFERROR(VLOOKUP(B832,EQUIPEMENTS!A:B,2,0),""))</f>
        <v/>
      </c>
      <c r="F832" s="91" t="n"/>
      <c r="G832" s="91" t="n"/>
      <c r="O832" s="97">
        <f>IF(AND(L832&lt;&gt;"Clôturée",F832&lt;&gt;""),TODAY()-F832,"")</f>
        <v/>
      </c>
    </row>
    <row r="833" ht="15" customHeight="1" s="59">
      <c r="C833" s="98">
        <f>IF(B833="","",IFERROR(VLOOKUP(B833,EQUIPEMENTS!A:B,2,0),""))</f>
        <v/>
      </c>
      <c r="F833" s="91" t="n"/>
      <c r="G833" s="91" t="n"/>
      <c r="O833" s="97">
        <f>IF(AND(L833&lt;&gt;"Clôturée",F833&lt;&gt;""),TODAY()-F833,"")</f>
        <v/>
      </c>
    </row>
    <row r="834" ht="15" customHeight="1" s="59">
      <c r="C834" s="98">
        <f>IF(B834="","",IFERROR(VLOOKUP(B834,EQUIPEMENTS!A:B,2,0),""))</f>
        <v/>
      </c>
      <c r="F834" s="91" t="n"/>
      <c r="G834" s="91" t="n"/>
      <c r="O834" s="97">
        <f>IF(AND(L834&lt;&gt;"Clôturée",F834&lt;&gt;""),TODAY()-F834,"")</f>
        <v/>
      </c>
    </row>
    <row r="835" ht="15" customHeight="1" s="59">
      <c r="C835" s="98">
        <f>IF(B835="","",IFERROR(VLOOKUP(B835,EQUIPEMENTS!A:B,2,0),""))</f>
        <v/>
      </c>
      <c r="F835" s="91" t="n"/>
      <c r="G835" s="91" t="n"/>
      <c r="O835" s="97">
        <f>IF(AND(L835&lt;&gt;"Clôturée",F835&lt;&gt;""),TODAY()-F835,"")</f>
        <v/>
      </c>
    </row>
    <row r="836" ht="15" customHeight="1" s="59">
      <c r="C836" s="98">
        <f>IF(B836="","",IFERROR(VLOOKUP(B836,EQUIPEMENTS!A:B,2,0),""))</f>
        <v/>
      </c>
      <c r="F836" s="91" t="n"/>
      <c r="G836" s="91" t="n"/>
      <c r="O836" s="97">
        <f>IF(AND(L836&lt;&gt;"Clôturée",F836&lt;&gt;""),TODAY()-F836,"")</f>
        <v/>
      </c>
    </row>
    <row r="837" ht="15" customHeight="1" s="59">
      <c r="C837" s="98">
        <f>IF(B837="","",IFERROR(VLOOKUP(B837,EQUIPEMENTS!A:B,2,0),""))</f>
        <v/>
      </c>
      <c r="F837" s="91" t="n"/>
      <c r="G837" s="91" t="n"/>
      <c r="O837" s="97">
        <f>IF(AND(L837&lt;&gt;"Clôturée",F837&lt;&gt;""),TODAY()-F837,"")</f>
        <v/>
      </c>
    </row>
    <row r="838" ht="15" customHeight="1" s="59">
      <c r="C838" s="98">
        <f>IF(B838="","",IFERROR(VLOOKUP(B838,EQUIPEMENTS!A:B,2,0),""))</f>
        <v/>
      </c>
      <c r="F838" s="91" t="n"/>
      <c r="G838" s="91" t="n"/>
      <c r="O838" s="97">
        <f>IF(AND(L838&lt;&gt;"Clôturée",F838&lt;&gt;""),TODAY()-F838,"")</f>
        <v/>
      </c>
    </row>
    <row r="839" ht="15" customHeight="1" s="59">
      <c r="C839" s="98">
        <f>IF(B839="","",IFERROR(VLOOKUP(B839,EQUIPEMENTS!A:B,2,0),""))</f>
        <v/>
      </c>
      <c r="F839" s="91" t="n"/>
      <c r="G839" s="91" t="n"/>
      <c r="O839" s="97">
        <f>IF(AND(L839&lt;&gt;"Clôturée",F839&lt;&gt;""),TODAY()-F839,"")</f>
        <v/>
      </c>
    </row>
    <row r="840" ht="15" customHeight="1" s="59">
      <c r="C840" s="98">
        <f>IF(B840="","",IFERROR(VLOOKUP(B840,EQUIPEMENTS!A:B,2,0),""))</f>
        <v/>
      </c>
      <c r="F840" s="91" t="n"/>
      <c r="G840" s="91" t="n"/>
      <c r="O840" s="97">
        <f>IF(AND(L840&lt;&gt;"Clôturée",F840&lt;&gt;""),TODAY()-F840,"")</f>
        <v/>
      </c>
    </row>
    <row r="841" ht="15" customHeight="1" s="59">
      <c r="C841" s="98">
        <f>IF(B841="","",IFERROR(VLOOKUP(B841,EQUIPEMENTS!A:B,2,0),""))</f>
        <v/>
      </c>
      <c r="F841" s="91" t="n"/>
      <c r="G841" s="91" t="n"/>
      <c r="O841" s="97">
        <f>IF(AND(L841&lt;&gt;"Clôturée",F841&lt;&gt;""),TODAY()-F841,"")</f>
        <v/>
      </c>
    </row>
    <row r="842" ht="15" customHeight="1" s="59">
      <c r="C842" s="98">
        <f>IF(B842="","",IFERROR(VLOOKUP(B842,EQUIPEMENTS!A:B,2,0),""))</f>
        <v/>
      </c>
      <c r="F842" s="91" t="n"/>
      <c r="G842" s="91" t="n"/>
      <c r="O842" s="97">
        <f>IF(AND(L842&lt;&gt;"Clôturée",F842&lt;&gt;""),TODAY()-F842,"")</f>
        <v/>
      </c>
    </row>
    <row r="843" ht="15" customHeight="1" s="59">
      <c r="C843" s="98">
        <f>IF(B843="","",IFERROR(VLOOKUP(B843,EQUIPEMENTS!A:B,2,0),""))</f>
        <v/>
      </c>
      <c r="F843" s="91" t="n"/>
      <c r="G843" s="91" t="n"/>
      <c r="O843" s="97">
        <f>IF(AND(L843&lt;&gt;"Clôturée",F843&lt;&gt;""),TODAY()-F843,"")</f>
        <v/>
      </c>
    </row>
    <row r="844" ht="15" customHeight="1" s="59">
      <c r="C844" s="98">
        <f>IF(B844="","",IFERROR(VLOOKUP(B844,EQUIPEMENTS!A:B,2,0),""))</f>
        <v/>
      </c>
      <c r="F844" s="91" t="n"/>
      <c r="G844" s="91" t="n"/>
      <c r="O844" s="97">
        <f>IF(AND(L844&lt;&gt;"Clôturée",F844&lt;&gt;""),TODAY()-F844,"")</f>
        <v/>
      </c>
    </row>
    <row r="845" ht="15" customHeight="1" s="59">
      <c r="C845" s="98">
        <f>IF(B845="","",IFERROR(VLOOKUP(B845,EQUIPEMENTS!A:B,2,0),""))</f>
        <v/>
      </c>
      <c r="F845" s="91" t="n"/>
      <c r="G845" s="91" t="n"/>
      <c r="O845" s="97">
        <f>IF(AND(L845&lt;&gt;"Clôturée",F845&lt;&gt;""),TODAY()-F845,"")</f>
        <v/>
      </c>
    </row>
    <row r="846" ht="15" customHeight="1" s="59">
      <c r="C846" s="98">
        <f>IF(B846="","",IFERROR(VLOOKUP(B846,EQUIPEMENTS!A:B,2,0),""))</f>
        <v/>
      </c>
      <c r="F846" s="91" t="n"/>
      <c r="G846" s="91" t="n"/>
      <c r="O846" s="97">
        <f>IF(AND(L846&lt;&gt;"Clôturée",F846&lt;&gt;""),TODAY()-F846,"")</f>
        <v/>
      </c>
    </row>
    <row r="847" ht="15" customHeight="1" s="59">
      <c r="C847" s="98">
        <f>IF(B847="","",IFERROR(VLOOKUP(B847,EQUIPEMENTS!A:B,2,0),""))</f>
        <v/>
      </c>
      <c r="F847" s="91" t="n"/>
      <c r="G847" s="91" t="n"/>
      <c r="O847" s="97">
        <f>IF(AND(L847&lt;&gt;"Clôturée",F847&lt;&gt;""),TODAY()-F847,"")</f>
        <v/>
      </c>
    </row>
    <row r="848" ht="15" customHeight="1" s="59">
      <c r="C848" s="98">
        <f>IF(B848="","",IFERROR(VLOOKUP(B848,EQUIPEMENTS!A:B,2,0),""))</f>
        <v/>
      </c>
      <c r="F848" s="91" t="n"/>
      <c r="G848" s="91" t="n"/>
      <c r="O848" s="97">
        <f>IF(AND(L848&lt;&gt;"Clôturée",F848&lt;&gt;""),TODAY()-F848,"")</f>
        <v/>
      </c>
    </row>
    <row r="849" ht="15" customHeight="1" s="59">
      <c r="C849" s="98">
        <f>IF(B849="","",IFERROR(VLOOKUP(B849,EQUIPEMENTS!A:B,2,0),""))</f>
        <v/>
      </c>
      <c r="F849" s="91" t="n"/>
      <c r="G849" s="91" t="n"/>
      <c r="O849" s="97">
        <f>IF(AND(L849&lt;&gt;"Clôturée",F849&lt;&gt;""),TODAY()-F849,"")</f>
        <v/>
      </c>
    </row>
    <row r="850" ht="15" customHeight="1" s="59">
      <c r="C850" s="98">
        <f>IF(B850="","",IFERROR(VLOOKUP(B850,EQUIPEMENTS!A:B,2,0),""))</f>
        <v/>
      </c>
      <c r="F850" s="91" t="n"/>
      <c r="G850" s="91" t="n"/>
      <c r="O850" s="97">
        <f>IF(AND(L850&lt;&gt;"Clôturée",F850&lt;&gt;""),TODAY()-F850,"")</f>
        <v/>
      </c>
    </row>
    <row r="851" ht="15" customHeight="1" s="59">
      <c r="C851" s="98">
        <f>IF(B851="","",IFERROR(VLOOKUP(B851,EQUIPEMENTS!A:B,2,0),""))</f>
        <v/>
      </c>
      <c r="F851" s="91" t="n"/>
      <c r="G851" s="91" t="n"/>
      <c r="O851" s="97">
        <f>IF(AND(L851&lt;&gt;"Clôturée",F851&lt;&gt;""),TODAY()-F851,"")</f>
        <v/>
      </c>
    </row>
    <row r="852" ht="15" customHeight="1" s="59">
      <c r="C852" s="98">
        <f>IF(B852="","",IFERROR(VLOOKUP(B852,EQUIPEMENTS!A:B,2,0),""))</f>
        <v/>
      </c>
      <c r="F852" s="91" t="n"/>
      <c r="G852" s="91" t="n"/>
      <c r="O852" s="97">
        <f>IF(AND(L852&lt;&gt;"Clôturée",F852&lt;&gt;""),TODAY()-F852,"")</f>
        <v/>
      </c>
    </row>
    <row r="853" ht="15" customHeight="1" s="59">
      <c r="C853" s="98">
        <f>IF(B853="","",IFERROR(VLOOKUP(B853,EQUIPEMENTS!A:B,2,0),""))</f>
        <v/>
      </c>
      <c r="F853" s="91" t="n"/>
      <c r="G853" s="91" t="n"/>
      <c r="O853" s="97">
        <f>IF(AND(L853&lt;&gt;"Clôturée",F853&lt;&gt;""),TODAY()-F853,"")</f>
        <v/>
      </c>
    </row>
    <row r="854" ht="15" customHeight="1" s="59">
      <c r="C854" s="98">
        <f>IF(B854="","",IFERROR(VLOOKUP(B854,EQUIPEMENTS!A:B,2,0),""))</f>
        <v/>
      </c>
      <c r="F854" s="91" t="n"/>
      <c r="G854" s="91" t="n"/>
      <c r="O854" s="97">
        <f>IF(AND(L854&lt;&gt;"Clôturée",F854&lt;&gt;""),TODAY()-F854,"")</f>
        <v/>
      </c>
    </row>
    <row r="855" ht="15" customHeight="1" s="59">
      <c r="C855" s="98">
        <f>IF(B855="","",IFERROR(VLOOKUP(B855,EQUIPEMENTS!A:B,2,0),""))</f>
        <v/>
      </c>
      <c r="F855" s="91" t="n"/>
      <c r="G855" s="91" t="n"/>
      <c r="O855" s="97">
        <f>IF(AND(L855&lt;&gt;"Clôturée",F855&lt;&gt;""),TODAY()-F855,"")</f>
        <v/>
      </c>
    </row>
    <row r="856" ht="15" customHeight="1" s="59">
      <c r="C856" s="98">
        <f>IF(B856="","",IFERROR(VLOOKUP(B856,EQUIPEMENTS!A:B,2,0),""))</f>
        <v/>
      </c>
      <c r="F856" s="91" t="n"/>
      <c r="G856" s="91" t="n"/>
      <c r="O856" s="97">
        <f>IF(AND(L856&lt;&gt;"Clôturée",F856&lt;&gt;""),TODAY()-F856,"")</f>
        <v/>
      </c>
    </row>
    <row r="857" ht="15" customHeight="1" s="59">
      <c r="C857" s="98">
        <f>IF(B857="","",IFERROR(VLOOKUP(B857,EQUIPEMENTS!A:B,2,0),""))</f>
        <v/>
      </c>
      <c r="F857" s="91" t="n"/>
      <c r="G857" s="91" t="n"/>
      <c r="O857" s="97">
        <f>IF(AND(L857&lt;&gt;"Clôturée",F857&lt;&gt;""),TODAY()-F857,"")</f>
        <v/>
      </c>
    </row>
    <row r="858" ht="15" customHeight="1" s="59">
      <c r="C858" s="98">
        <f>IF(B858="","",IFERROR(VLOOKUP(B858,EQUIPEMENTS!A:B,2,0),""))</f>
        <v/>
      </c>
      <c r="F858" s="91" t="n"/>
      <c r="G858" s="91" t="n"/>
      <c r="O858" s="97">
        <f>IF(AND(L858&lt;&gt;"Clôturée",F858&lt;&gt;""),TODAY()-F858,"")</f>
        <v/>
      </c>
    </row>
    <row r="859" ht="15" customHeight="1" s="59">
      <c r="C859" s="98">
        <f>IF(B859="","",IFERROR(VLOOKUP(B859,EQUIPEMENTS!A:B,2,0),""))</f>
        <v/>
      </c>
      <c r="F859" s="91" t="n"/>
      <c r="G859" s="91" t="n"/>
      <c r="O859" s="97">
        <f>IF(AND(L859&lt;&gt;"Clôturée",F859&lt;&gt;""),TODAY()-F859,"")</f>
        <v/>
      </c>
    </row>
    <row r="860" ht="15" customHeight="1" s="59">
      <c r="C860" s="98">
        <f>IF(B860="","",IFERROR(VLOOKUP(B860,EQUIPEMENTS!A:B,2,0),""))</f>
        <v/>
      </c>
      <c r="F860" s="91" t="n"/>
      <c r="G860" s="91" t="n"/>
      <c r="O860" s="97">
        <f>IF(AND(L860&lt;&gt;"Clôturée",F860&lt;&gt;""),TODAY()-F860,"")</f>
        <v/>
      </c>
    </row>
    <row r="861" ht="15" customHeight="1" s="59">
      <c r="C861" s="98">
        <f>IF(B861="","",IFERROR(VLOOKUP(B861,EQUIPEMENTS!A:B,2,0),""))</f>
        <v/>
      </c>
      <c r="F861" s="91" t="n"/>
      <c r="G861" s="91" t="n"/>
      <c r="O861" s="97">
        <f>IF(AND(L861&lt;&gt;"Clôturée",F861&lt;&gt;""),TODAY()-F861,"")</f>
        <v/>
      </c>
    </row>
    <row r="862" ht="15" customHeight="1" s="59">
      <c r="C862" s="98">
        <f>IF(B862="","",IFERROR(VLOOKUP(B862,EQUIPEMENTS!A:B,2,0),""))</f>
        <v/>
      </c>
      <c r="F862" s="91" t="n"/>
      <c r="G862" s="91" t="n"/>
      <c r="O862" s="97">
        <f>IF(AND(L862&lt;&gt;"Clôturée",F862&lt;&gt;""),TODAY()-F862,"")</f>
        <v/>
      </c>
    </row>
    <row r="863" ht="15" customHeight="1" s="59">
      <c r="C863" s="98">
        <f>IF(B863="","",IFERROR(VLOOKUP(B863,EQUIPEMENTS!A:B,2,0),""))</f>
        <v/>
      </c>
      <c r="F863" s="91" t="n"/>
      <c r="G863" s="91" t="n"/>
      <c r="O863" s="97">
        <f>IF(AND(L863&lt;&gt;"Clôturée",F863&lt;&gt;""),TODAY()-F863,"")</f>
        <v/>
      </c>
    </row>
    <row r="864" ht="15" customHeight="1" s="59">
      <c r="C864" s="98">
        <f>IF(B864="","",IFERROR(VLOOKUP(B864,EQUIPEMENTS!A:B,2,0),""))</f>
        <v/>
      </c>
      <c r="F864" s="91" t="n"/>
      <c r="G864" s="91" t="n"/>
      <c r="O864" s="97">
        <f>IF(AND(L864&lt;&gt;"Clôturée",F864&lt;&gt;""),TODAY()-F864,"")</f>
        <v/>
      </c>
    </row>
    <row r="865" ht="15" customHeight="1" s="59">
      <c r="C865" s="98">
        <f>IF(B865="","",IFERROR(VLOOKUP(B865,EQUIPEMENTS!A:B,2,0),""))</f>
        <v/>
      </c>
      <c r="F865" s="91" t="n"/>
      <c r="G865" s="91" t="n"/>
      <c r="O865" s="97">
        <f>IF(AND(L865&lt;&gt;"Clôturée",F865&lt;&gt;""),TODAY()-F865,"")</f>
        <v/>
      </c>
    </row>
    <row r="866" ht="15" customHeight="1" s="59">
      <c r="C866" s="98">
        <f>IF(B866="","",IFERROR(VLOOKUP(B866,EQUIPEMENTS!A:B,2,0),""))</f>
        <v/>
      </c>
      <c r="F866" s="91" t="n"/>
      <c r="G866" s="91" t="n"/>
      <c r="O866" s="97">
        <f>IF(AND(L866&lt;&gt;"Clôturée",F866&lt;&gt;""),TODAY()-F866,"")</f>
        <v/>
      </c>
    </row>
    <row r="867" ht="15" customHeight="1" s="59">
      <c r="C867" s="98">
        <f>IF(B867="","",IFERROR(VLOOKUP(B867,EQUIPEMENTS!A:B,2,0),""))</f>
        <v/>
      </c>
      <c r="F867" s="91" t="n"/>
      <c r="G867" s="91" t="n"/>
      <c r="O867" s="97">
        <f>IF(AND(L867&lt;&gt;"Clôturée",F867&lt;&gt;""),TODAY()-F867,"")</f>
        <v/>
      </c>
    </row>
    <row r="868" ht="15" customHeight="1" s="59">
      <c r="C868" s="98">
        <f>IF(B868="","",IFERROR(VLOOKUP(B868,EQUIPEMENTS!A:B,2,0),""))</f>
        <v/>
      </c>
      <c r="F868" s="91" t="n"/>
      <c r="G868" s="91" t="n"/>
      <c r="O868" s="97">
        <f>IF(AND(L868&lt;&gt;"Clôturée",F868&lt;&gt;""),TODAY()-F868,"")</f>
        <v/>
      </c>
    </row>
    <row r="869" ht="15" customHeight="1" s="59">
      <c r="C869" s="98">
        <f>IF(B869="","",IFERROR(VLOOKUP(B869,EQUIPEMENTS!A:B,2,0),""))</f>
        <v/>
      </c>
      <c r="F869" s="91" t="n"/>
      <c r="G869" s="91" t="n"/>
      <c r="O869" s="97">
        <f>IF(AND(L869&lt;&gt;"Clôturée",F869&lt;&gt;""),TODAY()-F869,"")</f>
        <v/>
      </c>
    </row>
    <row r="870" ht="15" customHeight="1" s="59">
      <c r="C870" s="98">
        <f>IF(B870="","",IFERROR(VLOOKUP(B870,EQUIPEMENTS!A:B,2,0),""))</f>
        <v/>
      </c>
      <c r="F870" s="91" t="n"/>
      <c r="G870" s="91" t="n"/>
      <c r="O870" s="97">
        <f>IF(AND(L870&lt;&gt;"Clôturée",F870&lt;&gt;""),TODAY()-F870,"")</f>
        <v/>
      </c>
    </row>
    <row r="871" ht="15" customHeight="1" s="59">
      <c r="C871" s="98">
        <f>IF(B871="","",IFERROR(VLOOKUP(B871,EQUIPEMENTS!A:B,2,0),""))</f>
        <v/>
      </c>
      <c r="F871" s="91" t="n"/>
      <c r="G871" s="91" t="n"/>
      <c r="O871" s="97">
        <f>IF(AND(L871&lt;&gt;"Clôturée",F871&lt;&gt;""),TODAY()-F871,"")</f>
        <v/>
      </c>
    </row>
    <row r="872" ht="15" customHeight="1" s="59">
      <c r="C872" s="98">
        <f>IF(B872="","",IFERROR(VLOOKUP(B872,EQUIPEMENTS!A:B,2,0),""))</f>
        <v/>
      </c>
      <c r="F872" s="91" t="n"/>
      <c r="G872" s="91" t="n"/>
      <c r="O872" s="97">
        <f>IF(AND(L872&lt;&gt;"Clôturée",F872&lt;&gt;""),TODAY()-F872,"")</f>
        <v/>
      </c>
    </row>
    <row r="873" ht="15" customHeight="1" s="59">
      <c r="C873" s="98">
        <f>IF(B873="","",IFERROR(VLOOKUP(B873,EQUIPEMENTS!A:B,2,0),""))</f>
        <v/>
      </c>
      <c r="F873" s="91" t="n"/>
      <c r="G873" s="91" t="n"/>
      <c r="O873" s="97">
        <f>IF(AND(L873&lt;&gt;"Clôturée",F873&lt;&gt;""),TODAY()-F873,"")</f>
        <v/>
      </c>
    </row>
    <row r="874" ht="15" customHeight="1" s="59">
      <c r="C874" s="98">
        <f>IF(B874="","",IFERROR(VLOOKUP(B874,EQUIPEMENTS!A:B,2,0),""))</f>
        <v/>
      </c>
      <c r="F874" s="91" t="n"/>
      <c r="G874" s="91" t="n"/>
      <c r="O874" s="97">
        <f>IF(AND(L874&lt;&gt;"Clôturée",F874&lt;&gt;""),TODAY()-F874,"")</f>
        <v/>
      </c>
    </row>
    <row r="875" ht="15" customHeight="1" s="59">
      <c r="C875" s="98">
        <f>IF(B875="","",IFERROR(VLOOKUP(B875,EQUIPEMENTS!A:B,2,0),""))</f>
        <v/>
      </c>
      <c r="F875" s="91" t="n"/>
      <c r="G875" s="91" t="n"/>
      <c r="O875" s="97">
        <f>IF(AND(L875&lt;&gt;"Clôturée",F875&lt;&gt;""),TODAY()-F875,"")</f>
        <v/>
      </c>
    </row>
    <row r="876" ht="15" customHeight="1" s="59">
      <c r="C876" s="98">
        <f>IF(B876="","",IFERROR(VLOOKUP(B876,EQUIPEMENTS!A:B,2,0),""))</f>
        <v/>
      </c>
      <c r="F876" s="91" t="n"/>
      <c r="G876" s="91" t="n"/>
      <c r="O876" s="97">
        <f>IF(AND(L876&lt;&gt;"Clôturée",F876&lt;&gt;""),TODAY()-F876,"")</f>
        <v/>
      </c>
    </row>
    <row r="877" ht="15" customHeight="1" s="59">
      <c r="C877" s="98">
        <f>IF(B877="","",IFERROR(VLOOKUP(B877,EQUIPEMENTS!A:B,2,0),""))</f>
        <v/>
      </c>
      <c r="F877" s="91" t="n"/>
      <c r="G877" s="91" t="n"/>
      <c r="O877" s="97">
        <f>IF(AND(L877&lt;&gt;"Clôturée",F877&lt;&gt;""),TODAY()-F877,"")</f>
        <v/>
      </c>
    </row>
    <row r="878" ht="15" customHeight="1" s="59">
      <c r="C878" s="98">
        <f>IF(B878="","",IFERROR(VLOOKUP(B878,EQUIPEMENTS!A:B,2,0),""))</f>
        <v/>
      </c>
      <c r="F878" s="91" t="n"/>
      <c r="G878" s="91" t="n"/>
      <c r="O878" s="97">
        <f>IF(AND(L878&lt;&gt;"Clôturée",F878&lt;&gt;""),TODAY()-F878,"")</f>
        <v/>
      </c>
    </row>
    <row r="879" ht="15" customHeight="1" s="59">
      <c r="C879" s="98">
        <f>IF(B879="","",IFERROR(VLOOKUP(B879,EQUIPEMENTS!A:B,2,0),""))</f>
        <v/>
      </c>
      <c r="F879" s="91" t="n"/>
      <c r="G879" s="91" t="n"/>
      <c r="O879" s="97">
        <f>IF(AND(L879&lt;&gt;"Clôturée",F879&lt;&gt;""),TODAY()-F879,"")</f>
        <v/>
      </c>
    </row>
    <row r="880" ht="15" customHeight="1" s="59">
      <c r="C880" s="98">
        <f>IF(B880="","",IFERROR(VLOOKUP(B880,EQUIPEMENTS!A:B,2,0),""))</f>
        <v/>
      </c>
      <c r="F880" s="91" t="n"/>
      <c r="G880" s="91" t="n"/>
      <c r="O880" s="97">
        <f>IF(AND(L880&lt;&gt;"Clôturée",F880&lt;&gt;""),TODAY()-F880,"")</f>
        <v/>
      </c>
    </row>
    <row r="881" ht="15" customHeight="1" s="59">
      <c r="C881" s="98">
        <f>IF(B881="","",IFERROR(VLOOKUP(B881,EQUIPEMENTS!A:B,2,0),""))</f>
        <v/>
      </c>
      <c r="F881" s="91" t="n"/>
      <c r="G881" s="91" t="n"/>
      <c r="O881" s="97">
        <f>IF(AND(L881&lt;&gt;"Clôturée",F881&lt;&gt;""),TODAY()-F881,"")</f>
        <v/>
      </c>
    </row>
    <row r="882" ht="15" customHeight="1" s="59">
      <c r="C882" s="98">
        <f>IF(B882="","",IFERROR(VLOOKUP(B882,EQUIPEMENTS!A:B,2,0),""))</f>
        <v/>
      </c>
      <c r="F882" s="91" t="n"/>
      <c r="G882" s="91" t="n"/>
      <c r="O882" s="97">
        <f>IF(AND(L882&lt;&gt;"Clôturée",F882&lt;&gt;""),TODAY()-F882,"")</f>
        <v/>
      </c>
    </row>
    <row r="883" ht="15" customHeight="1" s="59">
      <c r="C883" s="98">
        <f>IF(B883="","",IFERROR(VLOOKUP(B883,EQUIPEMENTS!A:B,2,0),""))</f>
        <v/>
      </c>
      <c r="F883" s="91" t="n"/>
      <c r="G883" s="91" t="n"/>
      <c r="O883" s="97">
        <f>IF(AND(L883&lt;&gt;"Clôturée",F883&lt;&gt;""),TODAY()-F883,"")</f>
        <v/>
      </c>
    </row>
    <row r="884" ht="15" customHeight="1" s="59">
      <c r="C884" s="98">
        <f>IF(B884="","",IFERROR(VLOOKUP(B884,EQUIPEMENTS!A:B,2,0),""))</f>
        <v/>
      </c>
      <c r="F884" s="91" t="n"/>
      <c r="G884" s="91" t="n"/>
      <c r="O884" s="97">
        <f>IF(AND(L884&lt;&gt;"Clôturée",F884&lt;&gt;""),TODAY()-F884,"")</f>
        <v/>
      </c>
    </row>
    <row r="885" ht="15" customHeight="1" s="59">
      <c r="C885" s="98">
        <f>IF(B885="","",IFERROR(VLOOKUP(B885,EQUIPEMENTS!A:B,2,0),""))</f>
        <v/>
      </c>
      <c r="F885" s="91" t="n"/>
      <c r="G885" s="91" t="n"/>
      <c r="O885" s="97">
        <f>IF(AND(L885&lt;&gt;"Clôturée",F885&lt;&gt;""),TODAY()-F885,"")</f>
        <v/>
      </c>
    </row>
    <row r="886" ht="15" customHeight="1" s="59">
      <c r="C886" s="98">
        <f>IF(B886="","",IFERROR(VLOOKUP(B886,EQUIPEMENTS!A:B,2,0),""))</f>
        <v/>
      </c>
      <c r="F886" s="91" t="n"/>
      <c r="G886" s="91" t="n"/>
      <c r="O886" s="97">
        <f>IF(AND(L886&lt;&gt;"Clôturée",F886&lt;&gt;""),TODAY()-F886,"")</f>
        <v/>
      </c>
    </row>
    <row r="887" ht="15" customHeight="1" s="59">
      <c r="C887" s="98">
        <f>IF(B887="","",IFERROR(VLOOKUP(B887,EQUIPEMENTS!A:B,2,0),""))</f>
        <v/>
      </c>
      <c r="F887" s="91" t="n"/>
      <c r="G887" s="91" t="n"/>
      <c r="O887" s="97">
        <f>IF(AND(L887&lt;&gt;"Clôturée",F887&lt;&gt;""),TODAY()-F887,"")</f>
        <v/>
      </c>
    </row>
    <row r="888" ht="15" customHeight="1" s="59">
      <c r="C888" s="98">
        <f>IF(B888="","",IFERROR(VLOOKUP(B888,EQUIPEMENTS!A:B,2,0),""))</f>
        <v/>
      </c>
      <c r="F888" s="91" t="n"/>
      <c r="G888" s="91" t="n"/>
      <c r="O888" s="97">
        <f>IF(AND(L888&lt;&gt;"Clôturée",F888&lt;&gt;""),TODAY()-F888,"")</f>
        <v/>
      </c>
    </row>
    <row r="889" ht="15" customHeight="1" s="59">
      <c r="C889" s="98">
        <f>IF(B889="","",IFERROR(VLOOKUP(B889,EQUIPEMENTS!A:B,2,0),""))</f>
        <v/>
      </c>
      <c r="F889" s="91" t="n"/>
      <c r="G889" s="91" t="n"/>
      <c r="O889" s="97">
        <f>IF(AND(L889&lt;&gt;"Clôturée",F889&lt;&gt;""),TODAY()-F889,"")</f>
        <v/>
      </c>
    </row>
    <row r="890" ht="15" customHeight="1" s="59">
      <c r="C890" s="98">
        <f>IF(B890="","",IFERROR(VLOOKUP(B890,EQUIPEMENTS!A:B,2,0),""))</f>
        <v/>
      </c>
      <c r="F890" s="91" t="n"/>
      <c r="G890" s="91" t="n"/>
      <c r="O890" s="97">
        <f>IF(AND(L890&lt;&gt;"Clôturée",F890&lt;&gt;""),TODAY()-F890,"")</f>
        <v/>
      </c>
    </row>
    <row r="891" ht="15" customHeight="1" s="59">
      <c r="C891" s="98">
        <f>IF(B891="","",IFERROR(VLOOKUP(B891,EQUIPEMENTS!A:B,2,0),""))</f>
        <v/>
      </c>
      <c r="F891" s="91" t="n"/>
      <c r="G891" s="91" t="n"/>
      <c r="O891" s="97">
        <f>IF(AND(L891&lt;&gt;"Clôturée",F891&lt;&gt;""),TODAY()-F891,"")</f>
        <v/>
      </c>
    </row>
    <row r="892" ht="15" customHeight="1" s="59">
      <c r="C892" s="98">
        <f>IF(B892="","",IFERROR(VLOOKUP(B892,EQUIPEMENTS!A:B,2,0),""))</f>
        <v/>
      </c>
      <c r="F892" s="91" t="n"/>
      <c r="G892" s="91" t="n"/>
      <c r="O892" s="97">
        <f>IF(AND(L892&lt;&gt;"Clôturée",F892&lt;&gt;""),TODAY()-F892,"")</f>
        <v/>
      </c>
    </row>
    <row r="893" ht="15" customHeight="1" s="59">
      <c r="C893" s="98">
        <f>IF(B893="","",IFERROR(VLOOKUP(B893,EQUIPEMENTS!A:B,2,0),""))</f>
        <v/>
      </c>
      <c r="F893" s="91" t="n"/>
      <c r="G893" s="91" t="n"/>
      <c r="O893" s="97">
        <f>IF(AND(L893&lt;&gt;"Clôturée",F893&lt;&gt;""),TODAY()-F893,"")</f>
        <v/>
      </c>
    </row>
    <row r="894" ht="15" customHeight="1" s="59">
      <c r="C894" s="98">
        <f>IF(B894="","",IFERROR(VLOOKUP(B894,EQUIPEMENTS!A:B,2,0),""))</f>
        <v/>
      </c>
      <c r="F894" s="91" t="n"/>
      <c r="G894" s="91" t="n"/>
      <c r="O894" s="97">
        <f>IF(AND(L894&lt;&gt;"Clôturée",F894&lt;&gt;""),TODAY()-F894,"")</f>
        <v/>
      </c>
    </row>
    <row r="895" ht="15" customHeight="1" s="59">
      <c r="C895" s="98">
        <f>IF(B895="","",IFERROR(VLOOKUP(B895,EQUIPEMENTS!A:B,2,0),""))</f>
        <v/>
      </c>
      <c r="F895" s="91" t="n"/>
      <c r="G895" s="91" t="n"/>
      <c r="O895" s="97">
        <f>IF(AND(L895&lt;&gt;"Clôturée",F895&lt;&gt;""),TODAY()-F895,"")</f>
        <v/>
      </c>
    </row>
    <row r="896" ht="15" customHeight="1" s="59">
      <c r="C896" s="98">
        <f>IF(B896="","",IFERROR(VLOOKUP(B896,EQUIPEMENTS!A:B,2,0),""))</f>
        <v/>
      </c>
      <c r="F896" s="91" t="n"/>
      <c r="G896" s="91" t="n"/>
      <c r="O896" s="97">
        <f>IF(AND(L896&lt;&gt;"Clôturée",F896&lt;&gt;""),TODAY()-F896,"")</f>
        <v/>
      </c>
    </row>
    <row r="897" ht="15" customHeight="1" s="59">
      <c r="C897" s="98">
        <f>IF(B897="","",IFERROR(VLOOKUP(B897,EQUIPEMENTS!A:B,2,0),""))</f>
        <v/>
      </c>
      <c r="F897" s="91" t="n"/>
      <c r="G897" s="91" t="n"/>
      <c r="O897" s="97">
        <f>IF(AND(L897&lt;&gt;"Clôturée",F897&lt;&gt;""),TODAY()-F897,"")</f>
        <v/>
      </c>
    </row>
    <row r="898" ht="15" customHeight="1" s="59">
      <c r="C898" s="98">
        <f>IF(B898="","",IFERROR(VLOOKUP(B898,EQUIPEMENTS!A:B,2,0),""))</f>
        <v/>
      </c>
      <c r="F898" s="91" t="n"/>
      <c r="G898" s="91" t="n"/>
      <c r="O898" s="97">
        <f>IF(AND(L898&lt;&gt;"Clôturée",F898&lt;&gt;""),TODAY()-F898,"")</f>
        <v/>
      </c>
    </row>
    <row r="899" ht="15" customHeight="1" s="59">
      <c r="C899" s="98">
        <f>IF(B899="","",IFERROR(VLOOKUP(B899,EQUIPEMENTS!A:B,2,0),""))</f>
        <v/>
      </c>
      <c r="F899" s="91" t="n"/>
      <c r="G899" s="91" t="n"/>
      <c r="O899" s="97">
        <f>IF(AND(L899&lt;&gt;"Clôturée",F899&lt;&gt;""),TODAY()-F899,"")</f>
        <v/>
      </c>
    </row>
    <row r="900" ht="15" customHeight="1" s="59">
      <c r="C900" s="98">
        <f>IF(B900="","",IFERROR(VLOOKUP(B900,EQUIPEMENTS!A:B,2,0),""))</f>
        <v/>
      </c>
      <c r="F900" s="91" t="n"/>
      <c r="G900" s="91" t="n"/>
      <c r="O900" s="97">
        <f>IF(AND(L900&lt;&gt;"Clôturée",F900&lt;&gt;""),TODAY()-F900,"")</f>
        <v/>
      </c>
    </row>
    <row r="901" ht="15" customHeight="1" s="59">
      <c r="C901" s="98">
        <f>IF(B901="","",IFERROR(VLOOKUP(B901,EQUIPEMENTS!A:B,2,0),""))</f>
        <v/>
      </c>
      <c r="F901" s="91" t="n"/>
      <c r="G901" s="91" t="n"/>
      <c r="O901" s="97">
        <f>IF(AND(L901&lt;&gt;"Clôturée",F901&lt;&gt;""),TODAY()-F901,"")</f>
        <v/>
      </c>
    </row>
    <row r="902" ht="15" customHeight="1" s="59">
      <c r="C902" s="98">
        <f>IF(B902="","",IFERROR(VLOOKUP(B902,EQUIPEMENTS!A:B,2,0),""))</f>
        <v/>
      </c>
      <c r="F902" s="91" t="n"/>
      <c r="G902" s="91" t="n"/>
      <c r="O902" s="97">
        <f>IF(AND(L902&lt;&gt;"Clôturée",F902&lt;&gt;""),TODAY()-F902,"")</f>
        <v/>
      </c>
    </row>
    <row r="903" ht="15" customHeight="1" s="59">
      <c r="C903" s="98">
        <f>IF(B903="","",IFERROR(VLOOKUP(B903,EQUIPEMENTS!A:B,2,0),""))</f>
        <v/>
      </c>
      <c r="F903" s="91" t="n"/>
      <c r="G903" s="91" t="n"/>
      <c r="O903" s="97">
        <f>IF(AND(L903&lt;&gt;"Clôturée",F903&lt;&gt;""),TODAY()-F903,"")</f>
        <v/>
      </c>
    </row>
    <row r="904" ht="15" customHeight="1" s="59">
      <c r="C904" s="98">
        <f>IF(B904="","",IFERROR(VLOOKUP(B904,EQUIPEMENTS!A:B,2,0),""))</f>
        <v/>
      </c>
      <c r="F904" s="91" t="n"/>
      <c r="G904" s="91" t="n"/>
      <c r="O904" s="97">
        <f>IF(AND(L904&lt;&gt;"Clôturée",F904&lt;&gt;""),TODAY()-F904,"")</f>
        <v/>
      </c>
    </row>
    <row r="905" ht="15" customHeight="1" s="59">
      <c r="C905" s="98">
        <f>IF(B905="","",IFERROR(VLOOKUP(B905,EQUIPEMENTS!A:B,2,0),""))</f>
        <v/>
      </c>
      <c r="F905" s="91" t="n"/>
      <c r="G905" s="91" t="n"/>
      <c r="O905" s="97">
        <f>IF(AND(L905&lt;&gt;"Clôturée",F905&lt;&gt;""),TODAY()-F905,"")</f>
        <v/>
      </c>
    </row>
    <row r="906" ht="15" customHeight="1" s="59">
      <c r="C906" s="98">
        <f>IF(B906="","",IFERROR(VLOOKUP(B906,EQUIPEMENTS!A:B,2,0),""))</f>
        <v/>
      </c>
      <c r="F906" s="91" t="n"/>
      <c r="G906" s="91" t="n"/>
      <c r="O906" s="97">
        <f>IF(AND(L906&lt;&gt;"Clôturée",F906&lt;&gt;""),TODAY()-F906,"")</f>
        <v/>
      </c>
    </row>
    <row r="907" ht="15" customHeight="1" s="59">
      <c r="C907" s="98">
        <f>IF(B907="","",IFERROR(VLOOKUP(B907,EQUIPEMENTS!A:B,2,0),""))</f>
        <v/>
      </c>
      <c r="F907" s="91" t="n"/>
      <c r="G907" s="91" t="n"/>
      <c r="O907" s="97">
        <f>IF(AND(L907&lt;&gt;"Clôturée",F907&lt;&gt;""),TODAY()-F907,"")</f>
        <v/>
      </c>
    </row>
    <row r="908" ht="15" customHeight="1" s="59">
      <c r="C908" s="98">
        <f>IF(B908="","",IFERROR(VLOOKUP(B908,EQUIPEMENTS!A:B,2,0),""))</f>
        <v/>
      </c>
      <c r="F908" s="91" t="n"/>
      <c r="G908" s="91" t="n"/>
      <c r="O908" s="97">
        <f>IF(AND(L908&lt;&gt;"Clôturée",F908&lt;&gt;""),TODAY()-F908,"")</f>
        <v/>
      </c>
    </row>
    <row r="909" ht="15" customHeight="1" s="59">
      <c r="C909" s="98">
        <f>IF(B909="","",IFERROR(VLOOKUP(B909,EQUIPEMENTS!A:B,2,0),""))</f>
        <v/>
      </c>
      <c r="F909" s="91" t="n"/>
      <c r="G909" s="91" t="n"/>
      <c r="O909" s="97">
        <f>IF(AND(L909&lt;&gt;"Clôturée",F909&lt;&gt;""),TODAY()-F909,"")</f>
        <v/>
      </c>
    </row>
    <row r="910" ht="15" customHeight="1" s="59">
      <c r="C910" s="98">
        <f>IF(B910="","",IFERROR(VLOOKUP(B910,EQUIPEMENTS!A:B,2,0),""))</f>
        <v/>
      </c>
      <c r="F910" s="91" t="n"/>
      <c r="G910" s="91" t="n"/>
      <c r="O910" s="97">
        <f>IF(AND(L910&lt;&gt;"Clôturée",F910&lt;&gt;""),TODAY()-F910,"")</f>
        <v/>
      </c>
    </row>
    <row r="911" ht="15" customHeight="1" s="59">
      <c r="C911" s="98">
        <f>IF(B911="","",IFERROR(VLOOKUP(B911,EQUIPEMENTS!A:B,2,0),""))</f>
        <v/>
      </c>
      <c r="F911" s="91" t="n"/>
      <c r="G911" s="91" t="n"/>
      <c r="O911" s="97">
        <f>IF(AND(L911&lt;&gt;"Clôturée",F911&lt;&gt;""),TODAY()-F911,"")</f>
        <v/>
      </c>
    </row>
    <row r="912" ht="15" customHeight="1" s="59">
      <c r="C912" s="98">
        <f>IF(B912="","",IFERROR(VLOOKUP(B912,EQUIPEMENTS!A:B,2,0),""))</f>
        <v/>
      </c>
      <c r="F912" s="91" t="n"/>
      <c r="G912" s="91" t="n"/>
      <c r="O912" s="97">
        <f>IF(AND(L912&lt;&gt;"Clôturée",F912&lt;&gt;""),TODAY()-F912,"")</f>
        <v/>
      </c>
    </row>
    <row r="913" ht="15" customHeight="1" s="59">
      <c r="C913" s="98">
        <f>IF(B913="","",IFERROR(VLOOKUP(B913,EQUIPEMENTS!A:B,2,0),""))</f>
        <v/>
      </c>
      <c r="F913" s="91" t="n"/>
      <c r="G913" s="91" t="n"/>
      <c r="O913" s="97">
        <f>IF(AND(L913&lt;&gt;"Clôturée",F913&lt;&gt;""),TODAY()-F913,"")</f>
        <v/>
      </c>
    </row>
    <row r="914" ht="15" customHeight="1" s="59">
      <c r="C914" s="98">
        <f>IF(B914="","",IFERROR(VLOOKUP(B914,EQUIPEMENTS!A:B,2,0),""))</f>
        <v/>
      </c>
      <c r="F914" s="91" t="n"/>
      <c r="G914" s="91" t="n"/>
      <c r="O914" s="97">
        <f>IF(AND(L914&lt;&gt;"Clôturée",F914&lt;&gt;""),TODAY()-F914,"")</f>
        <v/>
      </c>
    </row>
    <row r="915" ht="15" customHeight="1" s="59">
      <c r="C915" s="98">
        <f>IF(B915="","",IFERROR(VLOOKUP(B915,EQUIPEMENTS!A:B,2,0),""))</f>
        <v/>
      </c>
      <c r="F915" s="91" t="n"/>
      <c r="G915" s="91" t="n"/>
      <c r="O915" s="97">
        <f>IF(AND(L915&lt;&gt;"Clôturée",F915&lt;&gt;""),TODAY()-F915,"")</f>
        <v/>
      </c>
    </row>
    <row r="916" ht="15" customHeight="1" s="59">
      <c r="C916" s="98">
        <f>IF(B916="","",IFERROR(VLOOKUP(B916,EQUIPEMENTS!A:B,2,0),""))</f>
        <v/>
      </c>
      <c r="F916" s="91" t="n"/>
      <c r="G916" s="91" t="n"/>
      <c r="O916" s="97">
        <f>IF(AND(L916&lt;&gt;"Clôturée",F916&lt;&gt;""),TODAY()-F916,"")</f>
        <v/>
      </c>
    </row>
    <row r="917" ht="15" customHeight="1" s="59">
      <c r="C917" s="98">
        <f>IF(B917="","",IFERROR(VLOOKUP(B917,EQUIPEMENTS!A:B,2,0),""))</f>
        <v/>
      </c>
      <c r="F917" s="91" t="n"/>
      <c r="G917" s="91" t="n"/>
      <c r="O917" s="97">
        <f>IF(AND(L917&lt;&gt;"Clôturée",F917&lt;&gt;""),TODAY()-F917,"")</f>
        <v/>
      </c>
    </row>
    <row r="918" ht="15" customHeight="1" s="59">
      <c r="C918" s="98">
        <f>IF(B918="","",IFERROR(VLOOKUP(B918,EQUIPEMENTS!A:B,2,0),""))</f>
        <v/>
      </c>
      <c r="F918" s="91" t="n"/>
      <c r="G918" s="91" t="n"/>
      <c r="O918" s="97">
        <f>IF(AND(L918&lt;&gt;"Clôturée",F918&lt;&gt;""),TODAY()-F918,"")</f>
        <v/>
      </c>
    </row>
    <row r="919" ht="15" customHeight="1" s="59">
      <c r="C919" s="98">
        <f>IF(B919="","",IFERROR(VLOOKUP(B919,EQUIPEMENTS!A:B,2,0),""))</f>
        <v/>
      </c>
      <c r="F919" s="91" t="n"/>
      <c r="G919" s="91" t="n"/>
      <c r="O919" s="97">
        <f>IF(AND(L919&lt;&gt;"Clôturée",F919&lt;&gt;""),TODAY()-F919,"")</f>
        <v/>
      </c>
    </row>
    <row r="920" ht="15" customHeight="1" s="59">
      <c r="C920" s="98">
        <f>IF(B920="","",IFERROR(VLOOKUP(B920,EQUIPEMENTS!A:B,2,0),""))</f>
        <v/>
      </c>
      <c r="F920" s="91" t="n"/>
      <c r="G920" s="91" t="n"/>
      <c r="O920" s="97">
        <f>IF(AND(L920&lt;&gt;"Clôturée",F920&lt;&gt;""),TODAY()-F920,"")</f>
        <v/>
      </c>
    </row>
    <row r="921" ht="15" customHeight="1" s="59">
      <c r="C921" s="98">
        <f>IF(B921="","",IFERROR(VLOOKUP(B921,EQUIPEMENTS!A:B,2,0),""))</f>
        <v/>
      </c>
      <c r="F921" s="91" t="n"/>
      <c r="G921" s="91" t="n"/>
      <c r="O921" s="97">
        <f>IF(AND(L921&lt;&gt;"Clôturée",F921&lt;&gt;""),TODAY()-F921,"")</f>
        <v/>
      </c>
    </row>
    <row r="922" ht="15" customHeight="1" s="59">
      <c r="C922" s="98">
        <f>IF(B922="","",IFERROR(VLOOKUP(B922,EQUIPEMENTS!A:B,2,0),""))</f>
        <v/>
      </c>
      <c r="F922" s="91" t="n"/>
      <c r="G922" s="91" t="n"/>
      <c r="O922" s="97">
        <f>IF(AND(L922&lt;&gt;"Clôturée",F922&lt;&gt;""),TODAY()-F922,"")</f>
        <v/>
      </c>
    </row>
    <row r="923" ht="15" customHeight="1" s="59">
      <c r="C923" s="98">
        <f>IF(B923="","",IFERROR(VLOOKUP(B923,EQUIPEMENTS!A:B,2,0),""))</f>
        <v/>
      </c>
      <c r="F923" s="91" t="n"/>
      <c r="G923" s="91" t="n"/>
      <c r="O923" s="97">
        <f>IF(AND(L923&lt;&gt;"Clôturée",F923&lt;&gt;""),TODAY()-F923,"")</f>
        <v/>
      </c>
    </row>
    <row r="924" ht="15" customHeight="1" s="59">
      <c r="C924" s="98">
        <f>IF(B924="","",IFERROR(VLOOKUP(B924,EQUIPEMENTS!A:B,2,0),""))</f>
        <v/>
      </c>
      <c r="F924" s="91" t="n"/>
      <c r="G924" s="91" t="n"/>
      <c r="O924" s="97">
        <f>IF(AND(L924&lt;&gt;"Clôturée",F924&lt;&gt;""),TODAY()-F924,"")</f>
        <v/>
      </c>
    </row>
    <row r="925" ht="15" customHeight="1" s="59">
      <c r="C925" s="98">
        <f>IF(B925="","",IFERROR(VLOOKUP(B925,EQUIPEMENTS!A:B,2,0),""))</f>
        <v/>
      </c>
      <c r="F925" s="91" t="n"/>
      <c r="G925" s="91" t="n"/>
      <c r="O925" s="97">
        <f>IF(AND(L925&lt;&gt;"Clôturée",F925&lt;&gt;""),TODAY()-F925,"")</f>
        <v/>
      </c>
    </row>
    <row r="926" ht="15" customHeight="1" s="59">
      <c r="C926" s="98">
        <f>IF(B926="","",IFERROR(VLOOKUP(B926,EQUIPEMENTS!A:B,2,0),""))</f>
        <v/>
      </c>
      <c r="F926" s="91" t="n"/>
      <c r="G926" s="91" t="n"/>
      <c r="O926" s="97">
        <f>IF(AND(L926&lt;&gt;"Clôturée",F926&lt;&gt;""),TODAY()-F926,"")</f>
        <v/>
      </c>
    </row>
    <row r="927" ht="15" customHeight="1" s="59">
      <c r="C927" s="98">
        <f>IF(B927="","",IFERROR(VLOOKUP(B927,EQUIPEMENTS!A:B,2,0),""))</f>
        <v/>
      </c>
      <c r="F927" s="91" t="n"/>
      <c r="G927" s="91" t="n"/>
      <c r="O927" s="97">
        <f>IF(AND(L927&lt;&gt;"Clôturée",F927&lt;&gt;""),TODAY()-F927,"")</f>
        <v/>
      </c>
    </row>
    <row r="928" ht="15" customHeight="1" s="59">
      <c r="C928" s="98">
        <f>IF(B928="","",IFERROR(VLOOKUP(B928,EQUIPEMENTS!A:B,2,0),""))</f>
        <v/>
      </c>
      <c r="F928" s="91" t="n"/>
      <c r="G928" s="91" t="n"/>
      <c r="O928" s="97">
        <f>IF(AND(L928&lt;&gt;"Clôturée",F928&lt;&gt;""),TODAY()-F928,"")</f>
        <v/>
      </c>
    </row>
    <row r="929" ht="15" customHeight="1" s="59">
      <c r="C929" s="98">
        <f>IF(B929="","",IFERROR(VLOOKUP(B929,EQUIPEMENTS!A:B,2,0),""))</f>
        <v/>
      </c>
      <c r="F929" s="91" t="n"/>
      <c r="G929" s="91" t="n"/>
      <c r="O929" s="97">
        <f>IF(AND(L929&lt;&gt;"Clôturée",F929&lt;&gt;""),TODAY()-F929,"")</f>
        <v/>
      </c>
    </row>
    <row r="930" ht="15" customHeight="1" s="59">
      <c r="C930" s="98">
        <f>IF(B930="","",IFERROR(VLOOKUP(B930,EQUIPEMENTS!A:B,2,0),""))</f>
        <v/>
      </c>
      <c r="F930" s="91" t="n"/>
      <c r="G930" s="91" t="n"/>
      <c r="O930" s="97">
        <f>IF(AND(L930&lt;&gt;"Clôturée",F930&lt;&gt;""),TODAY()-F930,"")</f>
        <v/>
      </c>
    </row>
    <row r="931" ht="15" customHeight="1" s="59">
      <c r="C931" s="98">
        <f>IF(B931="","",IFERROR(VLOOKUP(B931,EQUIPEMENTS!A:B,2,0),""))</f>
        <v/>
      </c>
      <c r="F931" s="91" t="n"/>
      <c r="G931" s="91" t="n"/>
      <c r="O931" s="97">
        <f>IF(AND(L931&lt;&gt;"Clôturée",F931&lt;&gt;""),TODAY()-F931,"")</f>
        <v/>
      </c>
    </row>
    <row r="932" ht="15" customHeight="1" s="59">
      <c r="C932" s="98">
        <f>IF(B932="","",IFERROR(VLOOKUP(B932,EQUIPEMENTS!A:B,2,0),""))</f>
        <v/>
      </c>
      <c r="F932" s="91" t="n"/>
      <c r="G932" s="91" t="n"/>
      <c r="O932" s="97">
        <f>IF(AND(L932&lt;&gt;"Clôturée",F932&lt;&gt;""),TODAY()-F932,"")</f>
        <v/>
      </c>
    </row>
    <row r="933" ht="15" customHeight="1" s="59">
      <c r="C933" s="98">
        <f>IF(B933="","",IFERROR(VLOOKUP(B933,EQUIPEMENTS!A:B,2,0),""))</f>
        <v/>
      </c>
      <c r="F933" s="91" t="n"/>
      <c r="G933" s="91" t="n"/>
      <c r="O933" s="97">
        <f>IF(AND(L933&lt;&gt;"Clôturée",F933&lt;&gt;""),TODAY()-F933,"")</f>
        <v/>
      </c>
    </row>
    <row r="934" ht="15" customHeight="1" s="59">
      <c r="C934" s="98">
        <f>IF(B934="","",IFERROR(VLOOKUP(B934,EQUIPEMENTS!A:B,2,0),""))</f>
        <v/>
      </c>
      <c r="F934" s="91" t="n"/>
      <c r="G934" s="91" t="n"/>
      <c r="O934" s="97">
        <f>IF(AND(L934&lt;&gt;"Clôturée",F934&lt;&gt;""),TODAY()-F934,"")</f>
        <v/>
      </c>
    </row>
    <row r="935" ht="15" customHeight="1" s="59">
      <c r="C935" s="98">
        <f>IF(B935="","",IFERROR(VLOOKUP(B935,EQUIPEMENTS!A:B,2,0),""))</f>
        <v/>
      </c>
      <c r="F935" s="91" t="n"/>
      <c r="G935" s="91" t="n"/>
      <c r="O935" s="97">
        <f>IF(AND(L935&lt;&gt;"Clôturée",F935&lt;&gt;""),TODAY()-F935,"")</f>
        <v/>
      </c>
    </row>
    <row r="936" ht="15" customHeight="1" s="59">
      <c r="C936" s="98">
        <f>IF(B936="","",IFERROR(VLOOKUP(B936,EQUIPEMENTS!A:B,2,0),""))</f>
        <v/>
      </c>
      <c r="F936" s="91" t="n"/>
      <c r="G936" s="91" t="n"/>
      <c r="O936" s="97">
        <f>IF(AND(L936&lt;&gt;"Clôturée",F936&lt;&gt;""),TODAY()-F936,"")</f>
        <v/>
      </c>
    </row>
    <row r="937" ht="15" customHeight="1" s="59">
      <c r="C937" s="98">
        <f>IF(B937="","",IFERROR(VLOOKUP(B937,EQUIPEMENTS!A:B,2,0),""))</f>
        <v/>
      </c>
      <c r="F937" s="91" t="n"/>
      <c r="G937" s="91" t="n"/>
      <c r="O937" s="97">
        <f>IF(AND(L937&lt;&gt;"Clôturée",F937&lt;&gt;""),TODAY()-F937,"")</f>
        <v/>
      </c>
    </row>
    <row r="938" ht="15" customHeight="1" s="59">
      <c r="C938" s="98">
        <f>IF(B938="","",IFERROR(VLOOKUP(B938,EQUIPEMENTS!A:B,2,0),""))</f>
        <v/>
      </c>
      <c r="F938" s="91" t="n"/>
      <c r="G938" s="91" t="n"/>
      <c r="O938" s="97">
        <f>IF(AND(L938&lt;&gt;"Clôturée",F938&lt;&gt;""),TODAY()-F938,"")</f>
        <v/>
      </c>
    </row>
    <row r="939" ht="15" customHeight="1" s="59">
      <c r="C939" s="98">
        <f>IF(B939="","",IFERROR(VLOOKUP(B939,EQUIPEMENTS!A:B,2,0),""))</f>
        <v/>
      </c>
      <c r="F939" s="91" t="n"/>
      <c r="G939" s="91" t="n"/>
      <c r="O939" s="97">
        <f>IF(AND(L939&lt;&gt;"Clôturée",F939&lt;&gt;""),TODAY()-F939,"")</f>
        <v/>
      </c>
    </row>
    <row r="940" ht="15" customHeight="1" s="59">
      <c r="C940" s="98">
        <f>IF(B940="","",IFERROR(VLOOKUP(B940,EQUIPEMENTS!A:B,2,0),""))</f>
        <v/>
      </c>
      <c r="F940" s="91" t="n"/>
      <c r="G940" s="91" t="n"/>
      <c r="O940" s="97">
        <f>IF(AND(L940&lt;&gt;"Clôturée",F940&lt;&gt;""),TODAY()-F940,"")</f>
        <v/>
      </c>
    </row>
    <row r="941" ht="15" customHeight="1" s="59">
      <c r="C941" s="98">
        <f>IF(B941="","",IFERROR(VLOOKUP(B941,EQUIPEMENTS!A:B,2,0),""))</f>
        <v/>
      </c>
      <c r="F941" s="91" t="n"/>
      <c r="G941" s="91" t="n"/>
      <c r="O941" s="97">
        <f>IF(AND(L941&lt;&gt;"Clôturée",F941&lt;&gt;""),TODAY()-F941,"")</f>
        <v/>
      </c>
    </row>
    <row r="942" ht="15" customHeight="1" s="59">
      <c r="C942" s="98">
        <f>IF(B942="","",IFERROR(VLOOKUP(B942,EQUIPEMENTS!A:B,2,0),""))</f>
        <v/>
      </c>
      <c r="F942" s="91" t="n"/>
      <c r="G942" s="91" t="n"/>
      <c r="O942" s="97">
        <f>IF(AND(L942&lt;&gt;"Clôturée",F942&lt;&gt;""),TODAY()-F942,"")</f>
        <v/>
      </c>
    </row>
    <row r="943" ht="15" customHeight="1" s="59">
      <c r="C943" s="98">
        <f>IF(B943="","",IFERROR(VLOOKUP(B943,EQUIPEMENTS!A:B,2,0),""))</f>
        <v/>
      </c>
      <c r="F943" s="91" t="n"/>
      <c r="G943" s="91" t="n"/>
      <c r="O943" s="97">
        <f>IF(AND(L943&lt;&gt;"Clôturée",F943&lt;&gt;""),TODAY()-F943,"")</f>
        <v/>
      </c>
    </row>
    <row r="944" ht="15" customHeight="1" s="59">
      <c r="C944" s="98">
        <f>IF(B944="","",IFERROR(VLOOKUP(B944,EQUIPEMENTS!A:B,2,0),""))</f>
        <v/>
      </c>
      <c r="F944" s="91" t="n"/>
      <c r="G944" s="91" t="n"/>
      <c r="O944" s="97">
        <f>IF(AND(L944&lt;&gt;"Clôturée",F944&lt;&gt;""),TODAY()-F944,"")</f>
        <v/>
      </c>
    </row>
    <row r="945" ht="15" customHeight="1" s="59">
      <c r="C945" s="98">
        <f>IF(B945="","",IFERROR(VLOOKUP(B945,EQUIPEMENTS!A:B,2,0),""))</f>
        <v/>
      </c>
      <c r="F945" s="91" t="n"/>
      <c r="G945" s="91" t="n"/>
      <c r="O945" s="97">
        <f>IF(AND(L945&lt;&gt;"Clôturée",F945&lt;&gt;""),TODAY()-F945,"")</f>
        <v/>
      </c>
    </row>
    <row r="946" ht="15" customHeight="1" s="59">
      <c r="C946" s="98">
        <f>IF(B946="","",IFERROR(VLOOKUP(B946,EQUIPEMENTS!A:B,2,0),""))</f>
        <v/>
      </c>
      <c r="F946" s="91" t="n"/>
      <c r="G946" s="91" t="n"/>
      <c r="O946" s="97">
        <f>IF(AND(L946&lt;&gt;"Clôturée",F946&lt;&gt;""),TODAY()-F946,"")</f>
        <v/>
      </c>
    </row>
    <row r="947" ht="15" customHeight="1" s="59">
      <c r="C947" s="98">
        <f>IF(B947="","",IFERROR(VLOOKUP(B947,EQUIPEMENTS!A:B,2,0),""))</f>
        <v/>
      </c>
      <c r="F947" s="91" t="n"/>
      <c r="G947" s="91" t="n"/>
      <c r="O947" s="97">
        <f>IF(AND(L947&lt;&gt;"Clôturée",F947&lt;&gt;""),TODAY()-F947,"")</f>
        <v/>
      </c>
    </row>
    <row r="948" ht="15" customHeight="1" s="59">
      <c r="C948" s="98">
        <f>IF(B948="","",IFERROR(VLOOKUP(B948,EQUIPEMENTS!A:B,2,0),""))</f>
        <v/>
      </c>
      <c r="F948" s="91" t="n"/>
      <c r="G948" s="91" t="n"/>
      <c r="O948" s="97">
        <f>IF(AND(L948&lt;&gt;"Clôturée",F948&lt;&gt;""),TODAY()-F948,"")</f>
        <v/>
      </c>
    </row>
    <row r="949" ht="15" customHeight="1" s="59">
      <c r="C949" s="98">
        <f>IF(B949="","",IFERROR(VLOOKUP(B949,EQUIPEMENTS!A:B,2,0),""))</f>
        <v/>
      </c>
      <c r="F949" s="91" t="n"/>
      <c r="G949" s="91" t="n"/>
      <c r="O949" s="97">
        <f>IF(AND(L949&lt;&gt;"Clôturée",F949&lt;&gt;""),TODAY()-F949,"")</f>
        <v/>
      </c>
    </row>
    <row r="950" ht="15" customHeight="1" s="59">
      <c r="C950" s="98">
        <f>IF(B950="","",IFERROR(VLOOKUP(B950,EQUIPEMENTS!A:B,2,0),""))</f>
        <v/>
      </c>
      <c r="F950" s="91" t="n"/>
      <c r="G950" s="91" t="n"/>
      <c r="O950" s="97">
        <f>IF(AND(L950&lt;&gt;"Clôturée",F950&lt;&gt;""),TODAY()-F950,"")</f>
        <v/>
      </c>
    </row>
    <row r="951" ht="15" customHeight="1" s="59">
      <c r="C951" s="98">
        <f>IF(B951="","",IFERROR(VLOOKUP(B951,EQUIPEMENTS!A:B,2,0),""))</f>
        <v/>
      </c>
      <c r="F951" s="91" t="n"/>
      <c r="G951" s="91" t="n"/>
      <c r="O951" s="97">
        <f>IF(AND(L951&lt;&gt;"Clôturée",F951&lt;&gt;""),TODAY()-F951,"")</f>
        <v/>
      </c>
    </row>
    <row r="952" ht="15" customHeight="1" s="59">
      <c r="C952" s="98">
        <f>IF(B952="","",IFERROR(VLOOKUP(B952,EQUIPEMENTS!A:B,2,0),""))</f>
        <v/>
      </c>
      <c r="F952" s="91" t="n"/>
      <c r="G952" s="91" t="n"/>
      <c r="O952" s="97">
        <f>IF(AND(L952&lt;&gt;"Clôturée",F952&lt;&gt;""),TODAY()-F952,"")</f>
        <v/>
      </c>
    </row>
    <row r="953" ht="15" customHeight="1" s="59">
      <c r="C953" s="98">
        <f>IF(B953="","",IFERROR(VLOOKUP(B953,EQUIPEMENTS!A:B,2,0),""))</f>
        <v/>
      </c>
      <c r="F953" s="91" t="n"/>
      <c r="G953" s="91" t="n"/>
      <c r="O953" s="97">
        <f>IF(AND(L953&lt;&gt;"Clôturée",F953&lt;&gt;""),TODAY()-F953,"")</f>
        <v/>
      </c>
    </row>
    <row r="954" ht="15" customHeight="1" s="59">
      <c r="C954" s="98">
        <f>IF(B954="","",IFERROR(VLOOKUP(B954,EQUIPEMENTS!A:B,2,0),""))</f>
        <v/>
      </c>
      <c r="F954" s="91" t="n"/>
      <c r="G954" s="91" t="n"/>
      <c r="O954" s="97">
        <f>IF(AND(L954&lt;&gt;"Clôturée",F954&lt;&gt;""),TODAY()-F954,"")</f>
        <v/>
      </c>
    </row>
    <row r="955" ht="15" customHeight="1" s="59">
      <c r="C955" s="98">
        <f>IF(B955="","",IFERROR(VLOOKUP(B955,EQUIPEMENTS!A:B,2,0),""))</f>
        <v/>
      </c>
      <c r="F955" s="91" t="n"/>
      <c r="G955" s="91" t="n"/>
      <c r="O955" s="97">
        <f>IF(AND(L955&lt;&gt;"Clôturée",F955&lt;&gt;""),TODAY()-F955,"")</f>
        <v/>
      </c>
    </row>
    <row r="956" ht="15" customHeight="1" s="59">
      <c r="C956" s="98">
        <f>IF(B956="","",IFERROR(VLOOKUP(B956,EQUIPEMENTS!A:B,2,0),""))</f>
        <v/>
      </c>
      <c r="F956" s="91" t="n"/>
      <c r="G956" s="91" t="n"/>
      <c r="O956" s="97">
        <f>IF(AND(L956&lt;&gt;"Clôturée",F956&lt;&gt;""),TODAY()-F956,"")</f>
        <v/>
      </c>
    </row>
    <row r="957" ht="15" customHeight="1" s="59">
      <c r="C957" s="98">
        <f>IF(B957="","",IFERROR(VLOOKUP(B957,EQUIPEMENTS!A:B,2,0),""))</f>
        <v/>
      </c>
      <c r="F957" s="91" t="n"/>
      <c r="G957" s="91" t="n"/>
      <c r="O957" s="97">
        <f>IF(AND(L957&lt;&gt;"Clôturée",F957&lt;&gt;""),TODAY()-F957,"")</f>
        <v/>
      </c>
    </row>
    <row r="958" ht="15" customHeight="1" s="59">
      <c r="C958" s="98">
        <f>IF(B958="","",IFERROR(VLOOKUP(B958,EQUIPEMENTS!A:B,2,0),""))</f>
        <v/>
      </c>
      <c r="F958" s="91" t="n"/>
      <c r="G958" s="91" t="n"/>
      <c r="O958" s="97">
        <f>IF(AND(L958&lt;&gt;"Clôturée",F958&lt;&gt;""),TODAY()-F958,"")</f>
        <v/>
      </c>
    </row>
    <row r="959" ht="15" customHeight="1" s="59">
      <c r="C959" s="98">
        <f>IF(B959="","",IFERROR(VLOOKUP(B959,EQUIPEMENTS!A:B,2,0),""))</f>
        <v/>
      </c>
      <c r="F959" s="91" t="n"/>
      <c r="G959" s="91" t="n"/>
      <c r="O959" s="97">
        <f>IF(AND(L959&lt;&gt;"Clôturée",F959&lt;&gt;""),TODAY()-F959,"")</f>
        <v/>
      </c>
    </row>
    <row r="960" ht="15" customHeight="1" s="59">
      <c r="C960" s="98">
        <f>IF(B960="","",IFERROR(VLOOKUP(B960,EQUIPEMENTS!A:B,2,0),""))</f>
        <v/>
      </c>
      <c r="F960" s="91" t="n"/>
      <c r="G960" s="91" t="n"/>
      <c r="O960" s="97">
        <f>IF(AND(L960&lt;&gt;"Clôturée",F960&lt;&gt;""),TODAY()-F960,"")</f>
        <v/>
      </c>
    </row>
    <row r="961" ht="15" customHeight="1" s="59">
      <c r="C961" s="98">
        <f>IF(B961="","",IFERROR(VLOOKUP(B961,EQUIPEMENTS!A:B,2,0),""))</f>
        <v/>
      </c>
      <c r="F961" s="91" t="n"/>
      <c r="G961" s="91" t="n"/>
      <c r="O961" s="97">
        <f>IF(AND(L961&lt;&gt;"Clôturée",F961&lt;&gt;""),TODAY()-F961,"")</f>
        <v/>
      </c>
    </row>
    <row r="962" ht="15" customHeight="1" s="59">
      <c r="C962" s="98">
        <f>IF(B962="","",IFERROR(VLOOKUP(B962,EQUIPEMENTS!A:B,2,0),""))</f>
        <v/>
      </c>
      <c r="F962" s="91" t="n"/>
      <c r="G962" s="91" t="n"/>
      <c r="O962" s="97">
        <f>IF(AND(L962&lt;&gt;"Clôturée",F962&lt;&gt;""),TODAY()-F962,"")</f>
        <v/>
      </c>
    </row>
    <row r="963" ht="15" customHeight="1" s="59">
      <c r="C963" s="98">
        <f>IF(B963="","",IFERROR(VLOOKUP(B963,EQUIPEMENTS!A:B,2,0),""))</f>
        <v/>
      </c>
      <c r="F963" s="91" t="n"/>
      <c r="G963" s="91" t="n"/>
      <c r="O963" s="97">
        <f>IF(AND(L963&lt;&gt;"Clôturée",F963&lt;&gt;""),TODAY()-F963,"")</f>
        <v/>
      </c>
    </row>
    <row r="964" ht="15" customHeight="1" s="59">
      <c r="C964" s="98">
        <f>IF(B964="","",IFERROR(VLOOKUP(B964,EQUIPEMENTS!A:B,2,0),""))</f>
        <v/>
      </c>
      <c r="F964" s="91" t="n"/>
      <c r="G964" s="91" t="n"/>
      <c r="O964" s="97">
        <f>IF(AND(L964&lt;&gt;"Clôturée",F964&lt;&gt;""),TODAY()-F964,"")</f>
        <v/>
      </c>
    </row>
    <row r="965" ht="15" customHeight="1" s="59">
      <c r="C965" s="98">
        <f>IF(B965="","",IFERROR(VLOOKUP(B965,EQUIPEMENTS!A:B,2,0),""))</f>
        <v/>
      </c>
      <c r="F965" s="91" t="n"/>
      <c r="G965" s="91" t="n"/>
      <c r="O965" s="97">
        <f>IF(AND(L965&lt;&gt;"Clôturée",F965&lt;&gt;""),TODAY()-F965,"")</f>
        <v/>
      </c>
    </row>
    <row r="966" ht="15" customHeight="1" s="59">
      <c r="C966" s="98">
        <f>IF(B966="","",IFERROR(VLOOKUP(B966,EQUIPEMENTS!A:B,2,0),""))</f>
        <v/>
      </c>
      <c r="F966" s="91" t="n"/>
      <c r="G966" s="91" t="n"/>
      <c r="O966" s="97">
        <f>IF(AND(L966&lt;&gt;"Clôturée",F966&lt;&gt;""),TODAY()-F966,"")</f>
        <v/>
      </c>
    </row>
    <row r="967" ht="15" customHeight="1" s="59">
      <c r="C967" s="98">
        <f>IF(B967="","",IFERROR(VLOOKUP(B967,EQUIPEMENTS!A:B,2,0),""))</f>
        <v/>
      </c>
      <c r="F967" s="91" t="n"/>
      <c r="G967" s="91" t="n"/>
      <c r="O967" s="97">
        <f>IF(AND(L967&lt;&gt;"Clôturée",F967&lt;&gt;""),TODAY()-F967,"")</f>
        <v/>
      </c>
    </row>
    <row r="968" ht="15" customHeight="1" s="59">
      <c r="C968" s="98">
        <f>IF(B968="","",IFERROR(VLOOKUP(B968,EQUIPEMENTS!A:B,2,0),""))</f>
        <v/>
      </c>
      <c r="F968" s="91" t="n"/>
      <c r="G968" s="91" t="n"/>
      <c r="O968" s="97">
        <f>IF(AND(L968&lt;&gt;"Clôturée",F968&lt;&gt;""),TODAY()-F968,"")</f>
        <v/>
      </c>
    </row>
    <row r="969" ht="15" customHeight="1" s="59">
      <c r="C969" s="98">
        <f>IF(B969="","",IFERROR(VLOOKUP(B969,EQUIPEMENTS!A:B,2,0),""))</f>
        <v/>
      </c>
      <c r="F969" s="91" t="n"/>
      <c r="G969" s="91" t="n"/>
      <c r="O969" s="97">
        <f>IF(AND(L969&lt;&gt;"Clôturée",F969&lt;&gt;""),TODAY()-F969,"")</f>
        <v/>
      </c>
    </row>
    <row r="970" ht="15" customHeight="1" s="59">
      <c r="C970" s="98">
        <f>IF(B970="","",IFERROR(VLOOKUP(B970,EQUIPEMENTS!A:B,2,0),""))</f>
        <v/>
      </c>
      <c r="F970" s="91" t="n"/>
      <c r="G970" s="91" t="n"/>
      <c r="O970" s="97">
        <f>IF(AND(L970&lt;&gt;"Clôturée",F970&lt;&gt;""),TODAY()-F970,"")</f>
        <v/>
      </c>
    </row>
    <row r="971" ht="15" customHeight="1" s="59">
      <c r="C971" s="98">
        <f>IF(B971="","",IFERROR(VLOOKUP(B971,EQUIPEMENTS!A:B,2,0),""))</f>
        <v/>
      </c>
      <c r="F971" s="91" t="n"/>
      <c r="G971" s="91" t="n"/>
      <c r="O971" s="97">
        <f>IF(AND(L971&lt;&gt;"Clôturée",F971&lt;&gt;""),TODAY()-F971,"")</f>
        <v/>
      </c>
    </row>
    <row r="972" ht="15" customHeight="1" s="59">
      <c r="C972" s="98">
        <f>IF(B972="","",IFERROR(VLOOKUP(B972,EQUIPEMENTS!A:B,2,0),""))</f>
        <v/>
      </c>
      <c r="F972" s="91" t="n"/>
      <c r="G972" s="91" t="n"/>
      <c r="O972" s="97">
        <f>IF(AND(L972&lt;&gt;"Clôturée",F972&lt;&gt;""),TODAY()-F972,"")</f>
        <v/>
      </c>
    </row>
    <row r="973" ht="15" customHeight="1" s="59">
      <c r="C973" s="98">
        <f>IF(B973="","",IFERROR(VLOOKUP(B973,EQUIPEMENTS!A:B,2,0),""))</f>
        <v/>
      </c>
      <c r="F973" s="91" t="n"/>
      <c r="G973" s="91" t="n"/>
      <c r="O973" s="97">
        <f>IF(AND(L973&lt;&gt;"Clôturée",F973&lt;&gt;""),TODAY()-F973,"")</f>
        <v/>
      </c>
    </row>
    <row r="974" ht="15" customHeight="1" s="59">
      <c r="C974" s="98">
        <f>IF(B974="","",IFERROR(VLOOKUP(B974,EQUIPEMENTS!A:B,2,0),""))</f>
        <v/>
      </c>
      <c r="F974" s="91" t="n"/>
      <c r="G974" s="91" t="n"/>
      <c r="O974" s="97">
        <f>IF(AND(L974&lt;&gt;"Clôturée",F974&lt;&gt;""),TODAY()-F974,"")</f>
        <v/>
      </c>
    </row>
    <row r="975" ht="15" customHeight="1" s="59">
      <c r="C975" s="98">
        <f>IF(B975="","",IFERROR(VLOOKUP(B975,EQUIPEMENTS!A:B,2,0),""))</f>
        <v/>
      </c>
      <c r="F975" s="91" t="n"/>
      <c r="G975" s="91" t="n"/>
      <c r="O975" s="97">
        <f>IF(AND(L975&lt;&gt;"Clôturée",F975&lt;&gt;""),TODAY()-F975,"")</f>
        <v/>
      </c>
    </row>
    <row r="976" ht="15" customHeight="1" s="59">
      <c r="C976" s="98">
        <f>IF(B976="","",IFERROR(VLOOKUP(B976,EQUIPEMENTS!A:B,2,0),""))</f>
        <v/>
      </c>
      <c r="F976" s="91" t="n"/>
      <c r="G976" s="91" t="n"/>
      <c r="O976" s="97">
        <f>IF(AND(L976&lt;&gt;"Clôturée",F976&lt;&gt;""),TODAY()-F976,"")</f>
        <v/>
      </c>
    </row>
    <row r="977" ht="15" customHeight="1" s="59">
      <c r="C977" s="98">
        <f>IF(B977="","",IFERROR(VLOOKUP(B977,EQUIPEMENTS!A:B,2,0),""))</f>
        <v/>
      </c>
      <c r="F977" s="91" t="n"/>
      <c r="G977" s="91" t="n"/>
      <c r="O977" s="97">
        <f>IF(AND(L977&lt;&gt;"Clôturée",F977&lt;&gt;""),TODAY()-F977,"")</f>
        <v/>
      </c>
    </row>
    <row r="978" ht="15" customHeight="1" s="59">
      <c r="C978" s="98">
        <f>IF(B978="","",IFERROR(VLOOKUP(B978,EQUIPEMENTS!A:B,2,0),""))</f>
        <v/>
      </c>
      <c r="F978" s="91" t="n"/>
      <c r="G978" s="91" t="n"/>
      <c r="O978" s="97">
        <f>IF(AND(L978&lt;&gt;"Clôturée",F978&lt;&gt;""),TODAY()-F978,"")</f>
        <v/>
      </c>
    </row>
    <row r="979" ht="15" customHeight="1" s="59">
      <c r="C979" s="98">
        <f>IF(B979="","",IFERROR(VLOOKUP(B979,EQUIPEMENTS!A:B,2,0),""))</f>
        <v/>
      </c>
      <c r="F979" s="91" t="n"/>
      <c r="G979" s="91" t="n"/>
      <c r="O979" s="97">
        <f>IF(AND(L979&lt;&gt;"Clôturée",F979&lt;&gt;""),TODAY()-F979,"")</f>
        <v/>
      </c>
    </row>
    <row r="980" ht="15" customHeight="1" s="59">
      <c r="C980" s="98">
        <f>IF(B980="","",IFERROR(VLOOKUP(B980,EQUIPEMENTS!A:B,2,0),""))</f>
        <v/>
      </c>
      <c r="F980" s="91" t="n"/>
      <c r="G980" s="91" t="n"/>
      <c r="O980" s="97">
        <f>IF(AND(L980&lt;&gt;"Clôturée",F980&lt;&gt;""),TODAY()-F980,"")</f>
        <v/>
      </c>
    </row>
    <row r="981" ht="15" customHeight="1" s="59">
      <c r="C981" s="98">
        <f>IF(B981="","",IFERROR(VLOOKUP(B981,EQUIPEMENTS!A:B,2,0),""))</f>
        <v/>
      </c>
      <c r="F981" s="91" t="n"/>
      <c r="G981" s="91" t="n"/>
      <c r="O981" s="97">
        <f>IF(AND(L981&lt;&gt;"Clôturée",F981&lt;&gt;""),TODAY()-F981,"")</f>
        <v/>
      </c>
    </row>
    <row r="982" ht="15" customHeight="1" s="59">
      <c r="C982" s="98">
        <f>IF(B982="","",IFERROR(VLOOKUP(B982,EQUIPEMENTS!A:B,2,0),""))</f>
        <v/>
      </c>
      <c r="F982" s="91" t="n"/>
      <c r="G982" s="91" t="n"/>
      <c r="O982" s="97">
        <f>IF(AND(L982&lt;&gt;"Clôturée",F982&lt;&gt;""),TODAY()-F982,"")</f>
        <v/>
      </c>
    </row>
    <row r="983" ht="15" customHeight="1" s="59">
      <c r="C983" s="98">
        <f>IF(B983="","",IFERROR(VLOOKUP(B983,EQUIPEMENTS!A:B,2,0),""))</f>
        <v/>
      </c>
      <c r="F983" s="91" t="n"/>
      <c r="G983" s="91" t="n"/>
      <c r="O983" s="97">
        <f>IF(AND(L983&lt;&gt;"Clôturée",F983&lt;&gt;""),TODAY()-F983,"")</f>
        <v/>
      </c>
    </row>
    <row r="984" ht="15" customHeight="1" s="59">
      <c r="C984" s="98">
        <f>IF(B984="","",IFERROR(VLOOKUP(B984,EQUIPEMENTS!A:B,2,0),""))</f>
        <v/>
      </c>
      <c r="F984" s="91" t="n"/>
      <c r="G984" s="91" t="n"/>
      <c r="O984" s="97">
        <f>IF(AND(L984&lt;&gt;"Clôturée",F984&lt;&gt;""),TODAY()-F984,"")</f>
        <v/>
      </c>
    </row>
    <row r="985" ht="15" customHeight="1" s="59">
      <c r="C985" s="98">
        <f>IF(B985="","",IFERROR(VLOOKUP(B985,EQUIPEMENTS!A:B,2,0),""))</f>
        <v/>
      </c>
      <c r="F985" s="91" t="n"/>
      <c r="G985" s="91" t="n"/>
      <c r="O985" s="97">
        <f>IF(AND(L985&lt;&gt;"Clôturée",F985&lt;&gt;""),TODAY()-F985,"")</f>
        <v/>
      </c>
    </row>
    <row r="986" ht="15" customHeight="1" s="59">
      <c r="C986" s="98">
        <f>IF(B986="","",IFERROR(VLOOKUP(B986,EQUIPEMENTS!A:B,2,0),""))</f>
        <v/>
      </c>
      <c r="F986" s="91" t="n"/>
      <c r="G986" s="91" t="n"/>
      <c r="O986" s="97">
        <f>IF(AND(L986&lt;&gt;"Clôturée",F986&lt;&gt;""),TODAY()-F986,"")</f>
        <v/>
      </c>
    </row>
    <row r="987" ht="15" customHeight="1" s="59">
      <c r="C987" s="98">
        <f>IF(B987="","",IFERROR(VLOOKUP(B987,EQUIPEMENTS!A:B,2,0),""))</f>
        <v/>
      </c>
      <c r="F987" s="91" t="n"/>
      <c r="G987" s="91" t="n"/>
      <c r="O987" s="97">
        <f>IF(AND(L987&lt;&gt;"Clôturée",F987&lt;&gt;""),TODAY()-F987,"")</f>
        <v/>
      </c>
    </row>
    <row r="988" ht="15" customHeight="1" s="59">
      <c r="C988" s="98">
        <f>IF(B988="","",IFERROR(VLOOKUP(B988,EQUIPEMENTS!A:B,2,0),""))</f>
        <v/>
      </c>
      <c r="F988" s="91" t="n"/>
      <c r="G988" s="91" t="n"/>
      <c r="O988" s="97">
        <f>IF(AND(L988&lt;&gt;"Clôturée",F988&lt;&gt;""),TODAY()-F988,"")</f>
        <v/>
      </c>
    </row>
    <row r="989" ht="15" customHeight="1" s="59">
      <c r="C989" s="98">
        <f>IF(B989="","",IFERROR(VLOOKUP(B989,EQUIPEMENTS!A:B,2,0),""))</f>
        <v/>
      </c>
      <c r="F989" s="91" t="n"/>
      <c r="G989" s="91" t="n"/>
      <c r="O989" s="97">
        <f>IF(AND(L989&lt;&gt;"Clôturée",F989&lt;&gt;""),TODAY()-F989,"")</f>
        <v/>
      </c>
    </row>
    <row r="990" ht="15" customHeight="1" s="59">
      <c r="C990" s="98">
        <f>IF(B990="","",IFERROR(VLOOKUP(B990,EQUIPEMENTS!A:B,2,0),""))</f>
        <v/>
      </c>
      <c r="F990" s="91" t="n"/>
      <c r="G990" s="91" t="n"/>
      <c r="O990" s="97">
        <f>IF(AND(L990&lt;&gt;"Clôturée",F990&lt;&gt;""),TODAY()-F990,"")</f>
        <v/>
      </c>
    </row>
    <row r="991" ht="15" customHeight="1" s="59">
      <c r="C991" s="98">
        <f>IF(B991="","",IFERROR(VLOOKUP(B991,EQUIPEMENTS!A:B,2,0),""))</f>
        <v/>
      </c>
      <c r="F991" s="91" t="n"/>
      <c r="G991" s="91" t="n"/>
      <c r="O991" s="97">
        <f>IF(AND(L991&lt;&gt;"Clôturée",F991&lt;&gt;""),TODAY()-F991,"")</f>
        <v/>
      </c>
    </row>
    <row r="992" ht="15" customHeight="1" s="59">
      <c r="C992" s="98">
        <f>IF(B992="","",IFERROR(VLOOKUP(B992,EQUIPEMENTS!A:B,2,0),""))</f>
        <v/>
      </c>
      <c r="F992" s="91" t="n"/>
      <c r="G992" s="91" t="n"/>
      <c r="O992" s="97">
        <f>IF(AND(L992&lt;&gt;"Clôturée",F992&lt;&gt;""),TODAY()-F992,"")</f>
        <v/>
      </c>
    </row>
    <row r="993" ht="15" customHeight="1" s="59">
      <c r="C993" s="98">
        <f>IF(B993="","",IFERROR(VLOOKUP(B993,EQUIPEMENTS!A:B,2,0),""))</f>
        <v/>
      </c>
      <c r="F993" s="91" t="n"/>
      <c r="G993" s="91" t="n"/>
      <c r="O993" s="97">
        <f>IF(AND(L993&lt;&gt;"Clôturée",F993&lt;&gt;""),TODAY()-F993,"")</f>
        <v/>
      </c>
    </row>
    <row r="994" ht="15" customHeight="1" s="59">
      <c r="C994" s="98">
        <f>IF(B994="","",IFERROR(VLOOKUP(B994,EQUIPEMENTS!A:B,2,0),""))</f>
        <v/>
      </c>
      <c r="F994" s="91" t="n"/>
      <c r="G994" s="91" t="n"/>
      <c r="O994" s="97">
        <f>IF(AND(L994&lt;&gt;"Clôturée",F994&lt;&gt;""),TODAY()-F994,"")</f>
        <v/>
      </c>
    </row>
    <row r="995" ht="15" customHeight="1" s="59">
      <c r="C995" s="98">
        <f>IF(B995="","",IFERROR(VLOOKUP(B995,EQUIPEMENTS!A:B,2,0),""))</f>
        <v/>
      </c>
      <c r="F995" s="91" t="n"/>
      <c r="G995" s="91" t="n"/>
      <c r="O995" s="97">
        <f>IF(AND(L995&lt;&gt;"Clôturée",F995&lt;&gt;""),TODAY()-F995,"")</f>
        <v/>
      </c>
    </row>
    <row r="996" ht="15" customHeight="1" s="59">
      <c r="C996" s="98">
        <f>IF(B996="","",IFERROR(VLOOKUP(B996,EQUIPEMENTS!A:B,2,0),""))</f>
        <v/>
      </c>
      <c r="F996" s="91" t="n"/>
      <c r="G996" s="91" t="n"/>
      <c r="O996" s="97">
        <f>IF(AND(L996&lt;&gt;"Clôturée",F996&lt;&gt;""),TODAY()-F996,"")</f>
        <v/>
      </c>
    </row>
    <row r="997" ht="15" customHeight="1" s="59">
      <c r="C997" s="98">
        <f>IF(B997="","",IFERROR(VLOOKUP(B997,EQUIPEMENTS!A:B,2,0),""))</f>
        <v/>
      </c>
      <c r="F997" s="91" t="n"/>
      <c r="G997" s="91" t="n"/>
      <c r="O997" s="97">
        <f>IF(AND(L997&lt;&gt;"Clôturée",F997&lt;&gt;""),TODAY()-F997,"")</f>
        <v/>
      </c>
    </row>
    <row r="998" ht="15" customHeight="1" s="59">
      <c r="C998" s="98">
        <f>IF(B998="","",IFERROR(VLOOKUP(B998,EQUIPEMENTS!A:B,2,0),""))</f>
        <v/>
      </c>
      <c r="F998" s="91" t="n"/>
      <c r="G998" s="91" t="n"/>
      <c r="O998" s="97">
        <f>IF(AND(L998&lt;&gt;"Clôturée",F998&lt;&gt;""),TODAY()-F998,"")</f>
        <v/>
      </c>
    </row>
    <row r="999" ht="15" customHeight="1" s="59">
      <c r="C999" s="98">
        <f>IF(B999="","",IFERROR(VLOOKUP(B999,EQUIPEMENTS!A:B,2,0),""))</f>
        <v/>
      </c>
      <c r="F999" s="91" t="n"/>
      <c r="G999" s="91" t="n"/>
      <c r="O999" s="97">
        <f>IF(AND(L999&lt;&gt;"Clôturée",F999&lt;&gt;""),TODAY()-F999,"")</f>
        <v/>
      </c>
    </row>
    <row r="1000" ht="15" customHeight="1" s="59">
      <c r="C1000" s="98">
        <f>IF(B1000="","",IFERROR(VLOOKUP(B1000,EQUIPEMENTS!A:B,2,0),""))</f>
        <v/>
      </c>
      <c r="F1000" s="91" t="n"/>
      <c r="G1000" s="91" t="n"/>
      <c r="O1000" s="97">
        <f>IF(AND(L1000&lt;&gt;"Clôturée",F1000&lt;&gt;""),TODAY()-F1000,"")</f>
        <v/>
      </c>
    </row>
  </sheetData>
  <autoFilter ref="A1:P1"/>
  <conditionalFormatting sqref="A2:P1000">
    <cfRule type="expression" rank="0" priority="2" equalAverage="0" aboveAverage="0" dxfId="7" text="" percent="0" bottom="0">
      <formula>AND($L2&lt;&gt;"Clôturée",TODAY()-$F2&gt;7)</formula>
    </cfRule>
    <cfRule type="expression" rank="0" priority="3" equalAverage="0" aboveAverage="0" dxfId="2" text="" percent="0" bottom="0">
      <formula>AND($L2&lt;&gt;"Clôturée",TODAY()-$F2&gt;14)</formula>
    </cfRule>
  </conditionalFormatting>
  <dataValidations count="6">
    <dataValidation sqref="B2:B1000" showDropDown="0" showInputMessage="0" showErrorMessage="0" allowBlank="1" type="list" errorStyle="stop" operator="between">
      <formula1>EQUIPEMENTS!$A$2:$A$500</formula1>
      <formula2>0</formula2>
    </dataValidation>
    <dataValidation sqref="D2:D1000" showDropDown="0" showInputMessage="0" showErrorMessage="0" allowBlank="1" type="list" errorStyle="stop" operator="between">
      <formula1>LISTES!$C$2:$C$6</formula1>
      <formula2>0</formula2>
    </dataValidation>
    <dataValidation sqref="E2:E1000" showDropDown="0" showInputMessage="0" showErrorMessage="0" allowBlank="1" type="list" errorStyle="stop" operator="between">
      <formula1>LISTES!$H$2:$H$10</formula1>
      <formula2>0</formula2>
    </dataValidation>
    <dataValidation sqref="H2:H1000" showDropDown="0" showInputMessage="0" showErrorMessage="0" allowBlank="1" type="list" errorStyle="stop" operator="between">
      <formula1>TECHNICIENS!$A$2:$A$200</formula1>
      <formula2>0</formula2>
    </dataValidation>
    <dataValidation sqref="L2:L1000" showDropDown="0" showInputMessage="0" showErrorMessage="0" allowBlank="1" type="list" errorStyle="stop" operator="between">
      <formula1>LISTES!$D$2:$D$5</formula1>
      <formula2>0</formula2>
    </dataValidation>
    <dataValidation sqref="N2:N1000" showDropDown="0" showInputMessage="0" showErrorMessage="0" allowBlank="1" type="list" errorStyle="stop" operator="between">
      <formula1>COMPOSANTS!$A$2:$A$500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4A0033"/>
    <outlinePr summaryBelow="1" summaryRight="1"/>
    <pageSetUpPr fitToPage="0"/>
  </sheetPr>
  <dimension ref="A1:K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58" min="1" max="1"/>
    <col width="18" customWidth="1" style="58" min="2" max="2"/>
    <col width="16" customWidth="1" style="58" min="3" max="3"/>
    <col width="22" customWidth="1" style="58" min="4" max="5"/>
    <col width="14" customWidth="1" style="58" min="6" max="6"/>
    <col width="22" customWidth="1" style="58" min="7" max="7"/>
    <col width="16" customWidth="1" style="58" min="8" max="8"/>
    <col width="28" customWidth="1" style="58" min="9" max="9"/>
    <col width="35" customWidth="1" style="58" min="10" max="10"/>
    <col width="18" customWidth="1" style="58" min="11" max="11"/>
  </cols>
  <sheetData>
    <row r="1" ht="27.75" customHeight="1" s="59">
      <c r="A1" s="93" t="inlineStr">
        <is>
          <t>Code_Tech</t>
        </is>
      </c>
      <c r="B1" s="93" t="inlineStr">
        <is>
          <t>Nom</t>
        </is>
      </c>
      <c r="C1" s="93" t="inlineStr">
        <is>
          <t>Prenom</t>
        </is>
      </c>
      <c r="D1" s="93" t="inlineStr">
        <is>
          <t>Fonction</t>
        </is>
      </c>
      <c r="E1" s="93" t="inlineStr">
        <is>
          <t>Niveau_Qualification</t>
        </is>
      </c>
      <c r="F1" s="93" t="inlineStr">
        <is>
          <t>Experience_Annees</t>
        </is>
      </c>
      <c r="G1" s="93" t="inlineStr">
        <is>
          <t>Service_Rattachement</t>
        </is>
      </c>
      <c r="H1" s="93" t="inlineStr">
        <is>
          <t>Tel</t>
        </is>
      </c>
      <c r="I1" s="93" t="inlineStr">
        <is>
          <t>Email</t>
        </is>
      </c>
      <c r="J1" s="93" t="inlineStr">
        <is>
          <t>Formations</t>
        </is>
      </c>
      <c r="K1" s="83" t="inlineStr">
        <is>
          <t>Charge_Interventions</t>
        </is>
      </c>
    </row>
    <row r="2" ht="19.5" customHeight="1" s="59">
      <c r="A2" s="84" t="inlineStr">
        <is>
          <t>TECH01</t>
        </is>
      </c>
      <c r="B2" s="84" t="inlineStr">
        <is>
          <t>Martin</t>
        </is>
      </c>
      <c r="C2" s="84" t="inlineStr">
        <is>
          <t>Sophie</t>
        </is>
      </c>
      <c r="D2" s="84" t="inlineStr">
        <is>
          <t>Technicienne biomédicale</t>
        </is>
      </c>
      <c r="E2" s="84" t="inlineStr">
        <is>
          <t>Niveau 3 - Expert</t>
        </is>
      </c>
      <c r="F2" s="84" t="inlineStr">
        <is>
          <t>8</t>
        </is>
      </c>
      <c r="G2" s="84" t="inlineStr">
        <is>
          <t>Réanimation</t>
        </is>
      </c>
      <c r="H2" s="84" t="inlineStr">
        <is>
          <t>06 11 22 33 44</t>
        </is>
      </c>
      <c r="I2" s="84" t="inlineStr">
        <is>
          <t>s.martin@hopital.fr</t>
        </is>
      </c>
      <c r="J2" s="84" t="inlineStr">
        <is>
          <t>Formation GMAO 2024</t>
        </is>
      </c>
      <c r="K2" s="100">
        <f>IF(A2="","",COUNTIF(INTERVENTIONS!H:H,A2))</f>
        <v/>
      </c>
    </row>
    <row r="3" ht="19.5" customHeight="1" s="59">
      <c r="A3" s="87" t="inlineStr">
        <is>
          <t>TECH02</t>
        </is>
      </c>
      <c r="B3" s="87" t="inlineStr">
        <is>
          <t>Dubois</t>
        </is>
      </c>
      <c r="C3" s="87" t="inlineStr">
        <is>
          <t>Marc</t>
        </is>
      </c>
      <c r="D3" s="87" t="inlineStr">
        <is>
          <t>Technicien biomédical</t>
        </is>
      </c>
      <c r="E3" s="87" t="inlineStr">
        <is>
          <t>Niveau 2 - Technicien</t>
        </is>
      </c>
      <c r="F3" s="87" t="inlineStr">
        <is>
          <t>5</t>
        </is>
      </c>
      <c r="G3" s="87" t="inlineStr">
        <is>
          <t>Bloc opératoire</t>
        </is>
      </c>
      <c r="H3" s="87" t="inlineStr">
        <is>
          <t>06 55 66 77 88</t>
        </is>
      </c>
      <c r="I3" s="87" t="inlineStr">
        <is>
          <t>m.dubois@hopital.fr</t>
        </is>
      </c>
      <c r="J3" s="87" t="inlineStr">
        <is>
          <t>Habilitation électrique BR</t>
        </is>
      </c>
      <c r="K3" s="100">
        <f>IF(A3="","",COUNTIF(INTERVENTIONS!H:H,A3))</f>
        <v/>
      </c>
    </row>
    <row r="4" ht="19.5" customHeight="1" s="59">
      <c r="A4" s="84" t="inlineStr">
        <is>
          <t>TECH03</t>
        </is>
      </c>
      <c r="B4" s="84" t="inlineStr">
        <is>
          <t>Lemaire</t>
        </is>
      </c>
      <c r="C4" s="84" t="inlineStr">
        <is>
          <t>Julie</t>
        </is>
      </c>
      <c r="D4" s="84" t="inlineStr">
        <is>
          <t>Technicienne informatique</t>
        </is>
      </c>
      <c r="E4" s="84" t="inlineStr">
        <is>
          <t>Niveau 3 - Expert</t>
        </is>
      </c>
      <c r="F4" s="84" t="inlineStr">
        <is>
          <t>6</t>
        </is>
      </c>
      <c r="G4" s="84" t="inlineStr">
        <is>
          <t>Informatique/DSI</t>
        </is>
      </c>
      <c r="H4" s="84" t="inlineStr">
        <is>
          <t>06 99 00 11 22</t>
        </is>
      </c>
      <c r="I4" s="84" t="inlineStr">
        <is>
          <t>j.lemaire@hopital.fr</t>
        </is>
      </c>
      <c r="J4" s="84" t="inlineStr">
        <is>
          <t>ITIL v4, Certifiée HP</t>
        </is>
      </c>
      <c r="K4" s="100">
        <f>IF(A4="","",COUNTIF(INTERVENTIONS!H:H,A4))</f>
        <v/>
      </c>
    </row>
    <row r="5" ht="15" customHeight="1" s="59">
      <c r="A5" s="58" t="n"/>
      <c r="B5" s="58" t="n"/>
      <c r="C5" s="58" t="n"/>
      <c r="K5" s="100">
        <f>IF(A5="","",COUNTIF(INTERVENTIONS!H:H,A5))</f>
        <v/>
      </c>
    </row>
    <row r="6" ht="15" customHeight="1" s="59">
      <c r="K6" s="100">
        <f>IF(A6="","",COUNTIF(INTERVENTIONS!H:H,A6))</f>
        <v/>
      </c>
    </row>
    <row r="7" ht="15" customHeight="1" s="59">
      <c r="K7" s="100">
        <f>IF(A7="","",COUNTIF(INTERVENTIONS!H:H,A7))</f>
        <v/>
      </c>
    </row>
    <row r="8" ht="15" customHeight="1" s="59">
      <c r="K8" s="100">
        <f>IF(A8="","",COUNTIF(INTERVENTIONS!H:H,A8))</f>
        <v/>
      </c>
    </row>
    <row r="9" ht="15" customHeight="1" s="59">
      <c r="K9" s="100">
        <f>IF(A9="","",COUNTIF(INTERVENTIONS!H:H,A9))</f>
        <v/>
      </c>
    </row>
    <row r="10" ht="15" customHeight="1" s="59">
      <c r="K10" s="100">
        <f>IF(A10="","",COUNTIF(INTERVENTIONS!H:H,A10))</f>
        <v/>
      </c>
    </row>
    <row r="11" ht="15" customHeight="1" s="59">
      <c r="K11" s="100">
        <f>IF(A11="","",COUNTIF(INTERVENTIONS!H:H,A11))</f>
        <v/>
      </c>
    </row>
    <row r="12" ht="15" customHeight="1" s="59">
      <c r="K12" s="100">
        <f>IF(A12="","",COUNTIF(INTERVENTIONS!H:H,A12))</f>
        <v/>
      </c>
    </row>
    <row r="13" ht="15" customHeight="1" s="59">
      <c r="K13" s="100">
        <f>IF(A13="","",COUNTIF(INTERVENTIONS!H:H,A13))</f>
        <v/>
      </c>
    </row>
    <row r="14" ht="15" customHeight="1" s="59">
      <c r="K14" s="100">
        <f>IF(A14="","",COUNTIF(INTERVENTIONS!H:H,A14))</f>
        <v/>
      </c>
    </row>
    <row r="15" ht="15" customHeight="1" s="59">
      <c r="K15" s="100">
        <f>IF(A15="","",COUNTIF(INTERVENTIONS!H:H,A15))</f>
        <v/>
      </c>
    </row>
    <row r="16" ht="15" customHeight="1" s="59">
      <c r="K16" s="100">
        <f>IF(A16="","",COUNTIF(INTERVENTIONS!H:H,A16))</f>
        <v/>
      </c>
    </row>
    <row r="17" ht="15" customHeight="1" s="59">
      <c r="K17" s="100">
        <f>IF(A17="","",COUNTIF(INTERVENTIONS!H:H,A17))</f>
        <v/>
      </c>
    </row>
    <row r="18" ht="15" customHeight="1" s="59">
      <c r="K18" s="100">
        <f>IF(A18="","",COUNTIF(INTERVENTIONS!H:H,A18))</f>
        <v/>
      </c>
    </row>
    <row r="19" ht="15" customHeight="1" s="59">
      <c r="K19" s="100">
        <f>IF(A19="","",COUNTIF(INTERVENTIONS!H:H,A19))</f>
        <v/>
      </c>
    </row>
    <row r="20" ht="15" customHeight="1" s="59">
      <c r="K20" s="100">
        <f>IF(A20="","",COUNTIF(INTERVENTIONS!H:H,A20))</f>
        <v/>
      </c>
    </row>
    <row r="21" ht="15" customHeight="1" s="59">
      <c r="K21" s="100">
        <f>IF(A21="","",COUNTIF(INTERVENTIONS!H:H,A21))</f>
        <v/>
      </c>
    </row>
    <row r="22" ht="15" customHeight="1" s="59">
      <c r="K22" s="100">
        <f>IF(A22="","",COUNTIF(INTERVENTIONS!H:H,A22))</f>
        <v/>
      </c>
    </row>
    <row r="23" ht="15" customHeight="1" s="59">
      <c r="K23" s="100">
        <f>IF(A23="","",COUNTIF(INTERVENTIONS!H:H,A23))</f>
        <v/>
      </c>
    </row>
    <row r="24" ht="15" customHeight="1" s="59">
      <c r="K24" s="100">
        <f>IF(A24="","",COUNTIF(INTERVENTIONS!H:H,A24))</f>
        <v/>
      </c>
    </row>
    <row r="25" ht="15" customHeight="1" s="59">
      <c r="K25" s="100">
        <f>IF(A25="","",COUNTIF(INTERVENTIONS!H:H,A25))</f>
        <v/>
      </c>
    </row>
    <row r="26" ht="15" customHeight="1" s="59">
      <c r="K26" s="100">
        <f>IF(A26="","",COUNTIF(INTERVENTIONS!H:H,A26))</f>
        <v/>
      </c>
    </row>
    <row r="27" ht="15" customHeight="1" s="59">
      <c r="K27" s="100">
        <f>IF(A27="","",COUNTIF(INTERVENTIONS!H:H,A27))</f>
        <v/>
      </c>
    </row>
    <row r="28" ht="15" customHeight="1" s="59">
      <c r="K28" s="100">
        <f>IF(A28="","",COUNTIF(INTERVENTIONS!H:H,A28))</f>
        <v/>
      </c>
    </row>
    <row r="29" ht="15" customHeight="1" s="59">
      <c r="K29" s="100">
        <f>IF(A29="","",COUNTIF(INTERVENTIONS!H:H,A29))</f>
        <v/>
      </c>
    </row>
    <row r="30" ht="15" customHeight="1" s="59">
      <c r="K30" s="100">
        <f>IF(A30="","",COUNTIF(INTERVENTIONS!H:H,A30))</f>
        <v/>
      </c>
    </row>
    <row r="31" ht="15" customHeight="1" s="59">
      <c r="K31" s="100">
        <f>IF(A31="","",COUNTIF(INTERVENTIONS!H:H,A31))</f>
        <v/>
      </c>
    </row>
    <row r="32" ht="15" customHeight="1" s="59">
      <c r="K32" s="100">
        <f>IF(A32="","",COUNTIF(INTERVENTIONS!H:H,A32))</f>
        <v/>
      </c>
    </row>
    <row r="33" ht="15" customHeight="1" s="59">
      <c r="K33" s="100">
        <f>IF(A33="","",COUNTIF(INTERVENTIONS!H:H,A33))</f>
        <v/>
      </c>
    </row>
    <row r="34" ht="15" customHeight="1" s="59">
      <c r="K34" s="100">
        <f>IF(A34="","",COUNTIF(INTERVENTIONS!H:H,A34))</f>
        <v/>
      </c>
    </row>
    <row r="35" ht="15" customHeight="1" s="59">
      <c r="K35" s="100">
        <f>IF(A35="","",COUNTIF(INTERVENTIONS!H:H,A35))</f>
        <v/>
      </c>
    </row>
    <row r="36" ht="15" customHeight="1" s="59">
      <c r="K36" s="100">
        <f>IF(A36="","",COUNTIF(INTERVENTIONS!H:H,A36))</f>
        <v/>
      </c>
    </row>
    <row r="37" ht="15" customHeight="1" s="59">
      <c r="K37" s="100">
        <f>IF(A37="","",COUNTIF(INTERVENTIONS!H:H,A37))</f>
        <v/>
      </c>
    </row>
    <row r="38" ht="15" customHeight="1" s="59">
      <c r="K38" s="100">
        <f>IF(A38="","",COUNTIF(INTERVENTIONS!H:H,A38))</f>
        <v/>
      </c>
    </row>
    <row r="39" ht="15" customHeight="1" s="59">
      <c r="K39" s="100">
        <f>IF(A39="","",COUNTIF(INTERVENTIONS!H:H,A39))</f>
        <v/>
      </c>
    </row>
    <row r="40" ht="15" customHeight="1" s="59">
      <c r="K40" s="100">
        <f>IF(A40="","",COUNTIF(INTERVENTIONS!H:H,A40))</f>
        <v/>
      </c>
    </row>
    <row r="41" ht="15" customHeight="1" s="59">
      <c r="K41" s="100">
        <f>IF(A41="","",COUNTIF(INTERVENTIONS!H:H,A41))</f>
        <v/>
      </c>
    </row>
    <row r="42" ht="15" customHeight="1" s="59">
      <c r="K42" s="100">
        <f>IF(A42="","",COUNTIF(INTERVENTIONS!H:H,A42))</f>
        <v/>
      </c>
    </row>
    <row r="43" ht="15" customHeight="1" s="59">
      <c r="K43" s="100">
        <f>IF(A43="","",COUNTIF(INTERVENTIONS!H:H,A43))</f>
        <v/>
      </c>
    </row>
    <row r="44" ht="15" customHeight="1" s="59">
      <c r="K44" s="100">
        <f>IF(A44="","",COUNTIF(INTERVENTIONS!H:H,A44))</f>
        <v/>
      </c>
    </row>
    <row r="45" ht="15" customHeight="1" s="59">
      <c r="K45" s="100">
        <f>IF(A45="","",COUNTIF(INTERVENTIONS!H:H,A45))</f>
        <v/>
      </c>
    </row>
    <row r="46" ht="15" customHeight="1" s="59">
      <c r="K46" s="100">
        <f>IF(A46="","",COUNTIF(INTERVENTIONS!H:H,A46))</f>
        <v/>
      </c>
    </row>
    <row r="47" ht="15" customHeight="1" s="59">
      <c r="K47" s="100">
        <f>IF(A47="","",COUNTIF(INTERVENTIONS!H:H,A47))</f>
        <v/>
      </c>
    </row>
    <row r="48" ht="15" customHeight="1" s="59">
      <c r="K48" s="100">
        <f>IF(A48="","",COUNTIF(INTERVENTIONS!H:H,A48))</f>
        <v/>
      </c>
    </row>
    <row r="49" ht="15" customHeight="1" s="59">
      <c r="K49" s="100">
        <f>IF(A49="","",COUNTIF(INTERVENTIONS!H:H,A49))</f>
        <v/>
      </c>
    </row>
    <row r="50" ht="15" customHeight="1" s="59">
      <c r="K50" s="100">
        <f>IF(A50="","",COUNTIF(INTERVENTIONS!H:H,A50))</f>
        <v/>
      </c>
    </row>
    <row r="51" ht="15" customHeight="1" s="59">
      <c r="K51" s="100">
        <f>IF(A51="","",COUNTIF(INTERVENTIONS!H:H,A51))</f>
        <v/>
      </c>
    </row>
    <row r="52" ht="15" customHeight="1" s="59">
      <c r="K52" s="100">
        <f>IF(A52="","",COUNTIF(INTERVENTIONS!H:H,A52))</f>
        <v/>
      </c>
    </row>
    <row r="53" ht="15" customHeight="1" s="59">
      <c r="K53" s="100">
        <f>IF(A53="","",COUNTIF(INTERVENTIONS!H:H,A53))</f>
        <v/>
      </c>
    </row>
    <row r="54" ht="15" customHeight="1" s="59">
      <c r="K54" s="100">
        <f>IF(A54="","",COUNTIF(INTERVENTIONS!H:H,A54))</f>
        <v/>
      </c>
    </row>
    <row r="55" ht="15" customHeight="1" s="59">
      <c r="K55" s="100">
        <f>IF(A55="","",COUNTIF(INTERVENTIONS!H:H,A55))</f>
        <v/>
      </c>
    </row>
    <row r="56" ht="15" customHeight="1" s="59">
      <c r="K56" s="100">
        <f>IF(A56="","",COUNTIF(INTERVENTIONS!H:H,A56))</f>
        <v/>
      </c>
    </row>
    <row r="57" ht="15" customHeight="1" s="59">
      <c r="K57" s="100">
        <f>IF(A57="","",COUNTIF(INTERVENTIONS!H:H,A57))</f>
        <v/>
      </c>
    </row>
    <row r="58" ht="15" customHeight="1" s="59">
      <c r="K58" s="100">
        <f>IF(A58="","",COUNTIF(INTERVENTIONS!H:H,A58))</f>
        <v/>
      </c>
    </row>
    <row r="59" ht="15" customHeight="1" s="59">
      <c r="K59" s="100">
        <f>IF(A59="","",COUNTIF(INTERVENTIONS!H:H,A59))</f>
        <v/>
      </c>
    </row>
    <row r="60" ht="15" customHeight="1" s="59">
      <c r="K60" s="100">
        <f>IF(A60="","",COUNTIF(INTERVENTIONS!H:H,A60))</f>
        <v/>
      </c>
    </row>
    <row r="61" ht="15" customHeight="1" s="59">
      <c r="K61" s="100">
        <f>IF(A61="","",COUNTIF(INTERVENTIONS!H:H,A61))</f>
        <v/>
      </c>
    </row>
    <row r="62" ht="15" customHeight="1" s="59">
      <c r="K62" s="100">
        <f>IF(A62="","",COUNTIF(INTERVENTIONS!H:H,A62))</f>
        <v/>
      </c>
    </row>
    <row r="63" ht="15" customHeight="1" s="59">
      <c r="K63" s="100">
        <f>IF(A63="","",COUNTIF(INTERVENTIONS!H:H,A63))</f>
        <v/>
      </c>
    </row>
    <row r="64" ht="15" customHeight="1" s="59">
      <c r="K64" s="100">
        <f>IF(A64="","",COUNTIF(INTERVENTIONS!H:H,A64))</f>
        <v/>
      </c>
    </row>
    <row r="65" ht="15" customHeight="1" s="59">
      <c r="K65" s="100">
        <f>IF(A65="","",COUNTIF(INTERVENTIONS!H:H,A65))</f>
        <v/>
      </c>
    </row>
    <row r="66" ht="15" customHeight="1" s="59">
      <c r="K66" s="100">
        <f>IF(A66="","",COUNTIF(INTERVENTIONS!H:H,A66))</f>
        <v/>
      </c>
    </row>
    <row r="67" ht="15" customHeight="1" s="59">
      <c r="K67" s="100">
        <f>IF(A67="","",COUNTIF(INTERVENTIONS!H:H,A67))</f>
        <v/>
      </c>
    </row>
    <row r="68" ht="15" customHeight="1" s="59">
      <c r="K68" s="100">
        <f>IF(A68="","",COUNTIF(INTERVENTIONS!H:H,A68))</f>
        <v/>
      </c>
    </row>
    <row r="69" ht="15" customHeight="1" s="59">
      <c r="K69" s="100">
        <f>IF(A69="","",COUNTIF(INTERVENTIONS!H:H,A69))</f>
        <v/>
      </c>
    </row>
    <row r="70" ht="15" customHeight="1" s="59">
      <c r="K70" s="100">
        <f>IF(A70="","",COUNTIF(INTERVENTIONS!H:H,A70))</f>
        <v/>
      </c>
    </row>
    <row r="71" ht="15" customHeight="1" s="59">
      <c r="K71" s="100">
        <f>IF(A71="","",COUNTIF(INTERVENTIONS!H:H,A71))</f>
        <v/>
      </c>
    </row>
    <row r="72" ht="15" customHeight="1" s="59">
      <c r="K72" s="100">
        <f>IF(A72="","",COUNTIF(INTERVENTIONS!H:H,A72))</f>
        <v/>
      </c>
    </row>
    <row r="73" ht="15" customHeight="1" s="59">
      <c r="K73" s="100">
        <f>IF(A73="","",COUNTIF(INTERVENTIONS!H:H,A73))</f>
        <v/>
      </c>
    </row>
    <row r="74" ht="15" customHeight="1" s="59">
      <c r="K74" s="100">
        <f>IF(A74="","",COUNTIF(INTERVENTIONS!H:H,A74))</f>
        <v/>
      </c>
    </row>
    <row r="75" ht="15" customHeight="1" s="59">
      <c r="K75" s="100">
        <f>IF(A75="","",COUNTIF(INTERVENTIONS!H:H,A75))</f>
        <v/>
      </c>
    </row>
    <row r="76" ht="15" customHeight="1" s="59">
      <c r="K76" s="100">
        <f>IF(A76="","",COUNTIF(INTERVENTIONS!H:H,A76))</f>
        <v/>
      </c>
    </row>
    <row r="77" ht="15" customHeight="1" s="59">
      <c r="K77" s="100">
        <f>IF(A77="","",COUNTIF(INTERVENTIONS!H:H,A77))</f>
        <v/>
      </c>
    </row>
    <row r="78" ht="15" customHeight="1" s="59">
      <c r="K78" s="100">
        <f>IF(A78="","",COUNTIF(INTERVENTIONS!H:H,A78))</f>
        <v/>
      </c>
    </row>
    <row r="79" ht="15" customHeight="1" s="59">
      <c r="K79" s="100">
        <f>IF(A79="","",COUNTIF(INTERVENTIONS!H:H,A79))</f>
        <v/>
      </c>
    </row>
    <row r="80" ht="15" customHeight="1" s="59">
      <c r="K80" s="100">
        <f>IF(A80="","",COUNTIF(INTERVENTIONS!H:H,A80))</f>
        <v/>
      </c>
    </row>
    <row r="81" ht="15" customHeight="1" s="59">
      <c r="K81" s="100">
        <f>IF(A81="","",COUNTIF(INTERVENTIONS!H:H,A81))</f>
        <v/>
      </c>
    </row>
    <row r="82" ht="15" customHeight="1" s="59">
      <c r="K82" s="100">
        <f>IF(A82="","",COUNTIF(INTERVENTIONS!H:H,A82))</f>
        <v/>
      </c>
    </row>
    <row r="83" ht="15" customHeight="1" s="59">
      <c r="K83" s="100">
        <f>IF(A83="","",COUNTIF(INTERVENTIONS!H:H,A83))</f>
        <v/>
      </c>
    </row>
    <row r="84" ht="15" customHeight="1" s="59">
      <c r="K84" s="100">
        <f>IF(A84="","",COUNTIF(INTERVENTIONS!H:H,A84))</f>
        <v/>
      </c>
    </row>
    <row r="85" ht="15" customHeight="1" s="59">
      <c r="K85" s="100">
        <f>IF(A85="","",COUNTIF(INTERVENTIONS!H:H,A85))</f>
        <v/>
      </c>
    </row>
    <row r="86" ht="15" customHeight="1" s="59">
      <c r="K86" s="100">
        <f>IF(A86="","",COUNTIF(INTERVENTIONS!H:H,A86))</f>
        <v/>
      </c>
    </row>
    <row r="87" ht="15" customHeight="1" s="59">
      <c r="K87" s="100">
        <f>IF(A87="","",COUNTIF(INTERVENTIONS!H:H,A87))</f>
        <v/>
      </c>
    </row>
    <row r="88" ht="15" customHeight="1" s="59">
      <c r="K88" s="100">
        <f>IF(A88="","",COUNTIF(INTERVENTIONS!H:H,A88))</f>
        <v/>
      </c>
    </row>
    <row r="89" ht="15" customHeight="1" s="59">
      <c r="K89" s="100">
        <f>IF(A89="","",COUNTIF(INTERVENTIONS!H:H,A89))</f>
        <v/>
      </c>
    </row>
    <row r="90" ht="15" customHeight="1" s="59">
      <c r="K90" s="100">
        <f>IF(A90="","",COUNTIF(INTERVENTIONS!H:H,A90))</f>
        <v/>
      </c>
    </row>
    <row r="91" ht="15" customHeight="1" s="59">
      <c r="K91" s="100">
        <f>IF(A91="","",COUNTIF(INTERVENTIONS!H:H,A91))</f>
        <v/>
      </c>
    </row>
    <row r="92" ht="15" customHeight="1" s="59">
      <c r="K92" s="100">
        <f>IF(A92="","",COUNTIF(INTERVENTIONS!H:H,A92))</f>
        <v/>
      </c>
    </row>
    <row r="93" ht="15" customHeight="1" s="59">
      <c r="K93" s="100">
        <f>IF(A93="","",COUNTIF(INTERVENTIONS!H:H,A93))</f>
        <v/>
      </c>
    </row>
    <row r="94" ht="15" customHeight="1" s="59">
      <c r="K94" s="100">
        <f>IF(A94="","",COUNTIF(INTERVENTIONS!H:H,A94))</f>
        <v/>
      </c>
    </row>
    <row r="95" ht="15" customHeight="1" s="59">
      <c r="K95" s="100">
        <f>IF(A95="","",COUNTIF(INTERVENTIONS!H:H,A95))</f>
        <v/>
      </c>
    </row>
    <row r="96" ht="15" customHeight="1" s="59">
      <c r="K96" s="100">
        <f>IF(A96="","",COUNTIF(INTERVENTIONS!H:H,A96))</f>
        <v/>
      </c>
    </row>
    <row r="97" ht="15" customHeight="1" s="59">
      <c r="K97" s="100">
        <f>IF(A97="","",COUNTIF(INTERVENTIONS!H:H,A97))</f>
        <v/>
      </c>
    </row>
    <row r="98" ht="15" customHeight="1" s="59">
      <c r="K98" s="100">
        <f>IF(A98="","",COUNTIF(INTERVENTIONS!H:H,A98))</f>
        <v/>
      </c>
    </row>
    <row r="99" ht="15" customHeight="1" s="59">
      <c r="K99" s="100">
        <f>IF(A99="","",COUNTIF(INTERVENTIONS!H:H,A99))</f>
        <v/>
      </c>
    </row>
    <row r="100" ht="15" customHeight="1" s="59">
      <c r="K100" s="100">
        <f>IF(A100="","",COUNTIF(INTERVENTIONS!H:H,A100))</f>
        <v/>
      </c>
    </row>
    <row r="101" ht="15" customHeight="1" s="59">
      <c r="K101" s="100">
        <f>IF(A101="","",COUNTIF(INTERVENTIONS!H:H,A101))</f>
        <v/>
      </c>
    </row>
    <row r="102" ht="15" customHeight="1" s="59">
      <c r="K102" s="100">
        <f>IF(A102="","",COUNTIF(INTERVENTIONS!H:H,A102))</f>
        <v/>
      </c>
    </row>
    <row r="103" ht="15" customHeight="1" s="59">
      <c r="K103" s="100">
        <f>IF(A103="","",COUNTIF(INTERVENTIONS!H:H,A103))</f>
        <v/>
      </c>
    </row>
    <row r="104" ht="15" customHeight="1" s="59">
      <c r="K104" s="100">
        <f>IF(A104="","",COUNTIF(INTERVENTIONS!H:H,A104))</f>
        <v/>
      </c>
    </row>
    <row r="105" ht="15" customHeight="1" s="59">
      <c r="K105" s="100">
        <f>IF(A105="","",COUNTIF(INTERVENTIONS!H:H,A105))</f>
        <v/>
      </c>
    </row>
    <row r="106" ht="15" customHeight="1" s="59">
      <c r="K106" s="100">
        <f>IF(A106="","",COUNTIF(INTERVENTIONS!H:H,A106))</f>
        <v/>
      </c>
    </row>
    <row r="107" ht="15" customHeight="1" s="59">
      <c r="K107" s="100">
        <f>IF(A107="","",COUNTIF(INTERVENTIONS!H:H,A107))</f>
        <v/>
      </c>
    </row>
    <row r="108" ht="15" customHeight="1" s="59">
      <c r="K108" s="100">
        <f>IF(A108="","",COUNTIF(INTERVENTIONS!H:H,A108))</f>
        <v/>
      </c>
    </row>
    <row r="109" ht="15" customHeight="1" s="59">
      <c r="K109" s="100">
        <f>IF(A109="","",COUNTIF(INTERVENTIONS!H:H,A109))</f>
        <v/>
      </c>
    </row>
    <row r="110" ht="15" customHeight="1" s="59">
      <c r="K110" s="100">
        <f>IF(A110="","",COUNTIF(INTERVENTIONS!H:H,A110))</f>
        <v/>
      </c>
    </row>
    <row r="111" ht="15" customHeight="1" s="59">
      <c r="K111" s="100">
        <f>IF(A111="","",COUNTIF(INTERVENTIONS!H:H,A111))</f>
        <v/>
      </c>
    </row>
    <row r="112" ht="15" customHeight="1" s="59">
      <c r="K112" s="100">
        <f>IF(A112="","",COUNTIF(INTERVENTIONS!H:H,A112))</f>
        <v/>
      </c>
    </row>
    <row r="113" ht="15" customHeight="1" s="59">
      <c r="K113" s="100">
        <f>IF(A113="","",COUNTIF(INTERVENTIONS!H:H,A113))</f>
        <v/>
      </c>
    </row>
    <row r="114" ht="15" customHeight="1" s="59">
      <c r="K114" s="100">
        <f>IF(A114="","",COUNTIF(INTERVENTIONS!H:H,A114))</f>
        <v/>
      </c>
    </row>
    <row r="115" ht="15" customHeight="1" s="59">
      <c r="K115" s="100">
        <f>IF(A115="","",COUNTIF(INTERVENTIONS!H:H,A115))</f>
        <v/>
      </c>
    </row>
    <row r="116" ht="15" customHeight="1" s="59">
      <c r="K116" s="100">
        <f>IF(A116="","",COUNTIF(INTERVENTIONS!H:H,A116))</f>
        <v/>
      </c>
    </row>
    <row r="117" ht="15" customHeight="1" s="59">
      <c r="K117" s="100">
        <f>IF(A117="","",COUNTIF(INTERVENTIONS!H:H,A117))</f>
        <v/>
      </c>
    </row>
    <row r="118" ht="15" customHeight="1" s="59">
      <c r="K118" s="100">
        <f>IF(A118="","",COUNTIF(INTERVENTIONS!H:H,A118))</f>
        <v/>
      </c>
    </row>
    <row r="119" ht="15" customHeight="1" s="59">
      <c r="K119" s="100">
        <f>IF(A119="","",COUNTIF(INTERVENTIONS!H:H,A119))</f>
        <v/>
      </c>
    </row>
    <row r="120" ht="15" customHeight="1" s="59">
      <c r="K120" s="100">
        <f>IF(A120="","",COUNTIF(INTERVENTIONS!H:H,A120))</f>
        <v/>
      </c>
    </row>
    <row r="121" ht="15" customHeight="1" s="59">
      <c r="K121" s="100">
        <f>IF(A121="","",COUNTIF(INTERVENTIONS!H:H,A121))</f>
        <v/>
      </c>
    </row>
    <row r="122" ht="15" customHeight="1" s="59">
      <c r="K122" s="100">
        <f>IF(A122="","",COUNTIF(INTERVENTIONS!H:H,A122))</f>
        <v/>
      </c>
    </row>
    <row r="123" ht="15" customHeight="1" s="59">
      <c r="K123" s="100">
        <f>IF(A123="","",COUNTIF(INTERVENTIONS!H:H,A123))</f>
        <v/>
      </c>
    </row>
    <row r="124" ht="15" customHeight="1" s="59">
      <c r="K124" s="100">
        <f>IF(A124="","",COUNTIF(INTERVENTIONS!H:H,A124))</f>
        <v/>
      </c>
    </row>
    <row r="125" ht="15" customHeight="1" s="59">
      <c r="K125" s="100">
        <f>IF(A125="","",COUNTIF(INTERVENTIONS!H:H,A125))</f>
        <v/>
      </c>
    </row>
    <row r="126" ht="15" customHeight="1" s="59">
      <c r="K126" s="100">
        <f>IF(A126="","",COUNTIF(INTERVENTIONS!H:H,A126))</f>
        <v/>
      </c>
    </row>
    <row r="127" ht="15" customHeight="1" s="59">
      <c r="K127" s="100">
        <f>IF(A127="","",COUNTIF(INTERVENTIONS!H:H,A127))</f>
        <v/>
      </c>
    </row>
    <row r="128" ht="15" customHeight="1" s="59">
      <c r="K128" s="100">
        <f>IF(A128="","",COUNTIF(INTERVENTIONS!H:H,A128))</f>
        <v/>
      </c>
    </row>
    <row r="129" ht="15" customHeight="1" s="59">
      <c r="K129" s="100">
        <f>IF(A129="","",COUNTIF(INTERVENTIONS!H:H,A129))</f>
        <v/>
      </c>
    </row>
    <row r="130" ht="15" customHeight="1" s="59">
      <c r="K130" s="100">
        <f>IF(A130="","",COUNTIF(INTERVENTIONS!H:H,A130))</f>
        <v/>
      </c>
    </row>
    <row r="131" ht="15" customHeight="1" s="59">
      <c r="K131" s="100">
        <f>IF(A131="","",COUNTIF(INTERVENTIONS!H:H,A131))</f>
        <v/>
      </c>
    </row>
    <row r="132" ht="15" customHeight="1" s="59">
      <c r="K132" s="100">
        <f>IF(A132="","",COUNTIF(INTERVENTIONS!H:H,A132))</f>
        <v/>
      </c>
    </row>
    <row r="133" ht="15" customHeight="1" s="59">
      <c r="K133" s="100">
        <f>IF(A133="","",COUNTIF(INTERVENTIONS!H:H,A133))</f>
        <v/>
      </c>
    </row>
    <row r="134" ht="15" customHeight="1" s="59">
      <c r="K134" s="100">
        <f>IF(A134="","",COUNTIF(INTERVENTIONS!H:H,A134))</f>
        <v/>
      </c>
    </row>
    <row r="135" ht="15" customHeight="1" s="59">
      <c r="K135" s="100">
        <f>IF(A135="","",COUNTIF(INTERVENTIONS!H:H,A135))</f>
        <v/>
      </c>
    </row>
    <row r="136" ht="15" customHeight="1" s="59">
      <c r="K136" s="100">
        <f>IF(A136="","",COUNTIF(INTERVENTIONS!H:H,A136))</f>
        <v/>
      </c>
    </row>
    <row r="137" ht="15" customHeight="1" s="59">
      <c r="K137" s="100">
        <f>IF(A137="","",COUNTIF(INTERVENTIONS!H:H,A137))</f>
        <v/>
      </c>
    </row>
    <row r="138" ht="15" customHeight="1" s="59">
      <c r="K138" s="100">
        <f>IF(A138="","",COUNTIF(INTERVENTIONS!H:H,A138))</f>
        <v/>
      </c>
    </row>
    <row r="139" ht="15" customHeight="1" s="59">
      <c r="K139" s="100">
        <f>IF(A139="","",COUNTIF(INTERVENTIONS!H:H,A139))</f>
        <v/>
      </c>
    </row>
    <row r="140" ht="15" customHeight="1" s="59">
      <c r="K140" s="100">
        <f>IF(A140="","",COUNTIF(INTERVENTIONS!H:H,A140))</f>
        <v/>
      </c>
    </row>
    <row r="141" ht="15" customHeight="1" s="59">
      <c r="K141" s="100">
        <f>IF(A141="","",COUNTIF(INTERVENTIONS!H:H,A141))</f>
        <v/>
      </c>
    </row>
    <row r="142" ht="15" customHeight="1" s="59">
      <c r="K142" s="100">
        <f>IF(A142="","",COUNTIF(INTERVENTIONS!H:H,A142))</f>
        <v/>
      </c>
    </row>
    <row r="143" ht="15" customHeight="1" s="59">
      <c r="K143" s="100">
        <f>IF(A143="","",COUNTIF(INTERVENTIONS!H:H,A143))</f>
        <v/>
      </c>
    </row>
    <row r="144" ht="15" customHeight="1" s="59">
      <c r="K144" s="100">
        <f>IF(A144="","",COUNTIF(INTERVENTIONS!H:H,A144))</f>
        <v/>
      </c>
    </row>
    <row r="145" ht="15" customHeight="1" s="59">
      <c r="K145" s="100">
        <f>IF(A145="","",COUNTIF(INTERVENTIONS!H:H,A145))</f>
        <v/>
      </c>
    </row>
    <row r="146" ht="15" customHeight="1" s="59">
      <c r="K146" s="100">
        <f>IF(A146="","",COUNTIF(INTERVENTIONS!H:H,A146))</f>
        <v/>
      </c>
    </row>
    <row r="147" ht="15" customHeight="1" s="59">
      <c r="K147" s="100">
        <f>IF(A147="","",COUNTIF(INTERVENTIONS!H:H,A147))</f>
        <v/>
      </c>
    </row>
    <row r="148" ht="15" customHeight="1" s="59">
      <c r="K148" s="100">
        <f>IF(A148="","",COUNTIF(INTERVENTIONS!H:H,A148))</f>
        <v/>
      </c>
    </row>
    <row r="149" ht="15" customHeight="1" s="59">
      <c r="K149" s="100">
        <f>IF(A149="","",COUNTIF(INTERVENTIONS!H:H,A149))</f>
        <v/>
      </c>
    </row>
    <row r="150" ht="15" customHeight="1" s="59">
      <c r="K150" s="100">
        <f>IF(A150="","",COUNTIF(INTERVENTIONS!H:H,A150))</f>
        <v/>
      </c>
    </row>
    <row r="151" ht="15" customHeight="1" s="59">
      <c r="K151" s="100">
        <f>IF(A151="","",COUNTIF(INTERVENTIONS!H:H,A151))</f>
        <v/>
      </c>
    </row>
    <row r="152" ht="15" customHeight="1" s="59">
      <c r="K152" s="100">
        <f>IF(A152="","",COUNTIF(INTERVENTIONS!H:H,A152))</f>
        <v/>
      </c>
    </row>
    <row r="153" ht="15" customHeight="1" s="59">
      <c r="K153" s="100">
        <f>IF(A153="","",COUNTIF(INTERVENTIONS!H:H,A153))</f>
        <v/>
      </c>
    </row>
    <row r="154" ht="15" customHeight="1" s="59">
      <c r="K154" s="100">
        <f>IF(A154="","",COUNTIF(INTERVENTIONS!H:H,A154))</f>
        <v/>
      </c>
    </row>
    <row r="155" ht="15" customHeight="1" s="59">
      <c r="K155" s="100">
        <f>IF(A155="","",COUNTIF(INTERVENTIONS!H:H,A155))</f>
        <v/>
      </c>
    </row>
    <row r="156" ht="15" customHeight="1" s="59">
      <c r="K156" s="100">
        <f>IF(A156="","",COUNTIF(INTERVENTIONS!H:H,A156))</f>
        <v/>
      </c>
    </row>
    <row r="157" ht="15" customHeight="1" s="59">
      <c r="K157" s="100">
        <f>IF(A157="","",COUNTIF(INTERVENTIONS!H:H,A157))</f>
        <v/>
      </c>
    </row>
    <row r="158" ht="15" customHeight="1" s="59">
      <c r="K158" s="100">
        <f>IF(A158="","",COUNTIF(INTERVENTIONS!H:H,A158))</f>
        <v/>
      </c>
    </row>
    <row r="159" ht="15" customHeight="1" s="59">
      <c r="K159" s="100">
        <f>IF(A159="","",COUNTIF(INTERVENTIONS!H:H,A159))</f>
        <v/>
      </c>
    </row>
    <row r="160" ht="15" customHeight="1" s="59">
      <c r="K160" s="100">
        <f>IF(A160="","",COUNTIF(INTERVENTIONS!H:H,A160))</f>
        <v/>
      </c>
    </row>
    <row r="161" ht="15" customHeight="1" s="59">
      <c r="K161" s="100">
        <f>IF(A161="","",COUNTIF(INTERVENTIONS!H:H,A161))</f>
        <v/>
      </c>
    </row>
    <row r="162" ht="15" customHeight="1" s="59">
      <c r="K162" s="100">
        <f>IF(A162="","",COUNTIF(INTERVENTIONS!H:H,A162))</f>
        <v/>
      </c>
    </row>
    <row r="163" ht="15" customHeight="1" s="59">
      <c r="K163" s="100">
        <f>IF(A163="","",COUNTIF(INTERVENTIONS!H:H,A163))</f>
        <v/>
      </c>
    </row>
    <row r="164" ht="15" customHeight="1" s="59">
      <c r="K164" s="100">
        <f>IF(A164="","",COUNTIF(INTERVENTIONS!H:H,A164))</f>
        <v/>
      </c>
    </row>
    <row r="165" ht="15" customHeight="1" s="59">
      <c r="K165" s="100">
        <f>IF(A165="","",COUNTIF(INTERVENTIONS!H:H,A165))</f>
        <v/>
      </c>
    </row>
    <row r="166" ht="15" customHeight="1" s="59">
      <c r="K166" s="100">
        <f>IF(A166="","",COUNTIF(INTERVENTIONS!H:H,A166))</f>
        <v/>
      </c>
    </row>
    <row r="167" ht="15" customHeight="1" s="59">
      <c r="K167" s="100">
        <f>IF(A167="","",COUNTIF(INTERVENTIONS!H:H,A167))</f>
        <v/>
      </c>
    </row>
    <row r="168" ht="15" customHeight="1" s="59">
      <c r="K168" s="100">
        <f>IF(A168="","",COUNTIF(INTERVENTIONS!H:H,A168))</f>
        <v/>
      </c>
    </row>
    <row r="169" ht="15" customHeight="1" s="59">
      <c r="K169" s="100">
        <f>IF(A169="","",COUNTIF(INTERVENTIONS!H:H,A169))</f>
        <v/>
      </c>
    </row>
    <row r="170" ht="15" customHeight="1" s="59">
      <c r="K170" s="100">
        <f>IF(A170="","",COUNTIF(INTERVENTIONS!H:H,A170))</f>
        <v/>
      </c>
    </row>
    <row r="171" ht="15" customHeight="1" s="59">
      <c r="K171" s="100">
        <f>IF(A171="","",COUNTIF(INTERVENTIONS!H:H,A171))</f>
        <v/>
      </c>
    </row>
    <row r="172" ht="15" customHeight="1" s="59">
      <c r="K172" s="100">
        <f>IF(A172="","",COUNTIF(INTERVENTIONS!H:H,A172))</f>
        <v/>
      </c>
    </row>
    <row r="173" ht="15" customHeight="1" s="59">
      <c r="K173" s="100">
        <f>IF(A173="","",COUNTIF(INTERVENTIONS!H:H,A173))</f>
        <v/>
      </c>
    </row>
    <row r="174" ht="15" customHeight="1" s="59">
      <c r="K174" s="100">
        <f>IF(A174="","",COUNTIF(INTERVENTIONS!H:H,A174))</f>
        <v/>
      </c>
    </row>
    <row r="175" ht="15" customHeight="1" s="59">
      <c r="K175" s="100">
        <f>IF(A175="","",COUNTIF(INTERVENTIONS!H:H,A175))</f>
        <v/>
      </c>
    </row>
    <row r="176" ht="15" customHeight="1" s="59">
      <c r="K176" s="100">
        <f>IF(A176="","",COUNTIF(INTERVENTIONS!H:H,A176))</f>
        <v/>
      </c>
    </row>
    <row r="177" ht="15" customHeight="1" s="59">
      <c r="K177" s="100">
        <f>IF(A177="","",COUNTIF(INTERVENTIONS!H:H,A177))</f>
        <v/>
      </c>
    </row>
    <row r="178" ht="15" customHeight="1" s="59">
      <c r="K178" s="100">
        <f>IF(A178="","",COUNTIF(INTERVENTIONS!H:H,A178))</f>
        <v/>
      </c>
    </row>
    <row r="179" ht="15" customHeight="1" s="59">
      <c r="K179" s="100">
        <f>IF(A179="","",COUNTIF(INTERVENTIONS!H:H,A179))</f>
        <v/>
      </c>
    </row>
    <row r="180" ht="15" customHeight="1" s="59">
      <c r="K180" s="100">
        <f>IF(A180="","",COUNTIF(INTERVENTIONS!H:H,A180))</f>
        <v/>
      </c>
    </row>
    <row r="181" ht="15" customHeight="1" s="59">
      <c r="K181" s="100">
        <f>IF(A181="","",COUNTIF(INTERVENTIONS!H:H,A181))</f>
        <v/>
      </c>
    </row>
    <row r="182" ht="15" customHeight="1" s="59">
      <c r="K182" s="100">
        <f>IF(A182="","",COUNTIF(INTERVENTIONS!H:H,A182))</f>
        <v/>
      </c>
    </row>
    <row r="183" ht="15" customHeight="1" s="59">
      <c r="K183" s="100">
        <f>IF(A183="","",COUNTIF(INTERVENTIONS!H:H,A183))</f>
        <v/>
      </c>
    </row>
    <row r="184" ht="15" customHeight="1" s="59">
      <c r="K184" s="100">
        <f>IF(A184="","",COUNTIF(INTERVENTIONS!H:H,A184))</f>
        <v/>
      </c>
    </row>
    <row r="185" ht="15" customHeight="1" s="59">
      <c r="K185" s="100">
        <f>IF(A185="","",COUNTIF(INTERVENTIONS!H:H,A185))</f>
        <v/>
      </c>
    </row>
    <row r="186" ht="15" customHeight="1" s="59">
      <c r="K186" s="100">
        <f>IF(A186="","",COUNTIF(INTERVENTIONS!H:H,A186))</f>
        <v/>
      </c>
    </row>
    <row r="187" ht="15" customHeight="1" s="59">
      <c r="K187" s="100">
        <f>IF(A187="","",COUNTIF(INTERVENTIONS!H:H,A187))</f>
        <v/>
      </c>
    </row>
    <row r="188" ht="15" customHeight="1" s="59">
      <c r="K188" s="100">
        <f>IF(A188="","",COUNTIF(INTERVENTIONS!H:H,A188))</f>
        <v/>
      </c>
    </row>
    <row r="189" ht="15" customHeight="1" s="59">
      <c r="K189" s="100">
        <f>IF(A189="","",COUNTIF(INTERVENTIONS!H:H,A189))</f>
        <v/>
      </c>
    </row>
    <row r="190" ht="15" customHeight="1" s="59">
      <c r="K190" s="100">
        <f>IF(A190="","",COUNTIF(INTERVENTIONS!H:H,A190))</f>
        <v/>
      </c>
    </row>
    <row r="191" ht="15" customHeight="1" s="59">
      <c r="K191" s="100">
        <f>IF(A191="","",COUNTIF(INTERVENTIONS!H:H,A191))</f>
        <v/>
      </c>
    </row>
    <row r="192" ht="15" customHeight="1" s="59">
      <c r="K192" s="100">
        <f>IF(A192="","",COUNTIF(INTERVENTIONS!H:H,A192))</f>
        <v/>
      </c>
    </row>
    <row r="193" ht="15" customHeight="1" s="59">
      <c r="K193" s="100">
        <f>IF(A193="","",COUNTIF(INTERVENTIONS!H:H,A193))</f>
        <v/>
      </c>
    </row>
    <row r="194" ht="15" customHeight="1" s="59">
      <c r="K194" s="100">
        <f>IF(A194="","",COUNTIF(INTERVENTIONS!H:H,A194))</f>
        <v/>
      </c>
    </row>
    <row r="195" ht="15" customHeight="1" s="59">
      <c r="K195" s="100">
        <f>IF(A195="","",COUNTIF(INTERVENTIONS!H:H,A195))</f>
        <v/>
      </c>
    </row>
    <row r="196" ht="15" customHeight="1" s="59">
      <c r="K196" s="100">
        <f>IF(A196="","",COUNTIF(INTERVENTIONS!H:H,A196))</f>
        <v/>
      </c>
    </row>
    <row r="197" ht="15" customHeight="1" s="59">
      <c r="K197" s="100">
        <f>IF(A197="","",COUNTIF(INTERVENTIONS!H:H,A197))</f>
        <v/>
      </c>
    </row>
    <row r="198" ht="15" customHeight="1" s="59">
      <c r="K198" s="100">
        <f>IF(A198="","",COUNTIF(INTERVENTIONS!H:H,A198))</f>
        <v/>
      </c>
    </row>
    <row r="199" ht="15" customHeight="1" s="59">
      <c r="K199" s="100">
        <f>IF(A199="","",COUNTIF(INTERVENTIONS!H:H,A199))</f>
        <v/>
      </c>
    </row>
    <row r="200" ht="15" customHeight="1" s="59">
      <c r="K200" s="100">
        <f>IF(A200="","",COUNTIF(INTERVENTIONS!H:H,A200))</f>
        <v/>
      </c>
    </row>
  </sheetData>
  <autoFilter ref="A1:K1"/>
  <dataValidations count="2">
    <dataValidation sqref="E2:E200" showDropDown="0" showInputMessage="0" showErrorMessage="0" allowBlank="1" type="list" errorStyle="stop" operator="between">
      <formula1>LISTES!$L$2:$L$5</formula1>
      <formula2>0</formula2>
    </dataValidation>
    <dataValidation sqref="G2:G200" showDropDown="0" showInputMessage="0" showErrorMessage="0" allowBlank="1" type="list" errorStyle="stop" operator="between">
      <formula1>LISTES!$H$2:$H$10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003366"/>
    <outlinePr summaryBelow="1" summaryRight="1"/>
    <pageSetUpPr fitToPage="0"/>
  </sheetPr>
  <dimension ref="A1:L5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58" min="1" max="1"/>
    <col width="30" customWidth="1" style="58" min="2" max="2"/>
    <col width="20" customWidth="1" style="58" min="3" max="3"/>
    <col width="25" customWidth="1" style="58" min="4" max="4"/>
    <col width="14" customWidth="1" style="58" min="5" max="5"/>
    <col width="12" customWidth="1" style="58" min="6" max="7"/>
    <col width="20" customWidth="1" style="58" min="8" max="8"/>
    <col width="14" customWidth="1" style="58" min="9" max="9"/>
    <col width="16" customWidth="1" style="58" min="10" max="10"/>
    <col width="14" customWidth="1" style="58" min="11" max="11"/>
    <col width="30" customWidth="1" style="58" min="12" max="12"/>
  </cols>
  <sheetData>
    <row r="1" ht="27.75" customHeight="1" s="59">
      <c r="A1" s="93" t="inlineStr">
        <is>
          <t>Code_Piece</t>
        </is>
      </c>
      <c r="B1" s="93" t="inlineStr">
        <is>
          <t>Designation</t>
        </is>
      </c>
      <c r="C1" s="93" t="inlineStr">
        <is>
          <t>Categorie</t>
        </is>
      </c>
      <c r="D1" s="83" t="inlineStr">
        <is>
          <t>Equipement_Compatible</t>
        </is>
      </c>
      <c r="E1" s="93" t="inlineStr">
        <is>
          <t>Stock_Actuel</t>
        </is>
      </c>
      <c r="F1" s="93" t="inlineStr">
        <is>
          <t>Stock_Min</t>
        </is>
      </c>
      <c r="G1" s="93" t="inlineStr">
        <is>
          <t>Stock_Max</t>
        </is>
      </c>
      <c r="H1" s="93" t="inlineStr">
        <is>
          <t>Fournisseur</t>
        </is>
      </c>
      <c r="I1" s="93" t="inlineStr">
        <is>
          <t>Prix_Unitaire</t>
        </is>
      </c>
      <c r="J1" s="93" t="inlineStr">
        <is>
          <t>Derniere_Reception</t>
        </is>
      </c>
      <c r="K1" s="83" t="inlineStr">
        <is>
          <t>Alerte_Stock</t>
        </is>
      </c>
      <c r="L1" s="93" t="inlineStr">
        <is>
          <t>Observation</t>
        </is>
      </c>
    </row>
    <row r="2" ht="19.5" customHeight="1" s="59">
      <c r="A2" s="84" t="inlineStr">
        <is>
          <t>PC001</t>
        </is>
      </c>
      <c r="B2" s="84" t="inlineStr">
        <is>
          <t>Filtre concentrateur O2</t>
        </is>
      </c>
      <c r="C2" s="84" t="inlineStr">
        <is>
          <t>Filtre</t>
        </is>
      </c>
      <c r="D2" s="84" t="inlineStr">
        <is>
          <t>EQ0002</t>
        </is>
      </c>
      <c r="E2" s="84" t="inlineStr">
        <is>
          <t>2</t>
        </is>
      </c>
      <c r="F2" s="84" t="inlineStr">
        <is>
          <t>3</t>
        </is>
      </c>
      <c r="G2" s="84" t="inlineStr">
        <is>
          <t>10</t>
        </is>
      </c>
      <c r="H2" s="84" t="inlineStr">
        <is>
          <t>FOUR002</t>
        </is>
      </c>
      <c r="I2" s="101" t="inlineStr">
        <is>
          <t>45.00</t>
        </is>
      </c>
      <c r="J2" s="86" t="inlineStr">
        <is>
          <t>2025-01-15</t>
        </is>
      </c>
      <c r="K2" s="94">
        <f>IF(E2="","",IF(E2&lt;F2,"⚠ STOCK BAS","OK"))</f>
        <v/>
      </c>
      <c r="L2" s="84" t="n"/>
    </row>
    <row r="3" ht="19.5" customHeight="1" s="59">
      <c r="A3" s="87" t="inlineStr">
        <is>
          <t>PC002</t>
        </is>
      </c>
      <c r="B3" s="87" t="inlineStr">
        <is>
          <t>Dalle écran HP EliteBook</t>
        </is>
      </c>
      <c r="C3" s="87" t="inlineStr">
        <is>
          <t>Écran/dalle</t>
        </is>
      </c>
      <c r="D3" s="87" t="inlineStr">
        <is>
          <t>EQ0003</t>
        </is>
      </c>
      <c r="E3" s="87" t="inlineStr">
        <is>
          <t>0</t>
        </is>
      </c>
      <c r="F3" s="87" t="inlineStr">
        <is>
          <t>1</t>
        </is>
      </c>
      <c r="G3" s="87" t="inlineStr">
        <is>
          <t>3</t>
        </is>
      </c>
      <c r="H3" s="87" t="inlineStr">
        <is>
          <t>FOUR003</t>
        </is>
      </c>
      <c r="I3" s="102" t="inlineStr">
        <is>
          <t>180.00</t>
        </is>
      </c>
      <c r="J3" s="89" t="inlineStr">
        <is>
          <t>2025-04-25</t>
        </is>
      </c>
      <c r="K3" s="95">
        <f>IF(E3="","",IF(E3&lt;F3,"⚠ STOCK BAS","OK"))</f>
        <v/>
      </c>
      <c r="L3" s="87" t="inlineStr">
        <is>
          <t>En commande</t>
        </is>
      </c>
    </row>
    <row r="4" ht="19.5" customHeight="1" s="59">
      <c r="A4" s="84" t="inlineStr">
        <is>
          <t>PC003</t>
        </is>
      </c>
      <c r="B4" s="84" t="inlineStr">
        <is>
          <t>Batterie monitor Philips</t>
        </is>
      </c>
      <c r="C4" s="84" t="inlineStr">
        <is>
          <t>Batterie</t>
        </is>
      </c>
      <c r="D4" s="84" t="inlineStr">
        <is>
          <t>EQ0001</t>
        </is>
      </c>
      <c r="E4" s="84" t="inlineStr">
        <is>
          <t>4</t>
        </is>
      </c>
      <c r="F4" s="84" t="inlineStr">
        <is>
          <t>2</t>
        </is>
      </c>
      <c r="G4" s="84" t="inlineStr">
        <is>
          <t>8</t>
        </is>
      </c>
      <c r="H4" s="84" t="inlineStr">
        <is>
          <t>FOUR001</t>
        </is>
      </c>
      <c r="I4" s="101" t="inlineStr">
        <is>
          <t>75.00</t>
        </is>
      </c>
      <c r="J4" s="86" t="inlineStr">
        <is>
          <t>2025-03-01</t>
        </is>
      </c>
      <c r="K4" s="94">
        <f>IF(E4="","",IF(E4&lt;F4,"⚠ STOCK BAS","OK"))</f>
        <v/>
      </c>
      <c r="L4" s="84" t="n"/>
    </row>
    <row r="5" ht="15" customHeight="1" s="59">
      <c r="A5" s="58" t="n"/>
      <c r="B5" s="58" t="n"/>
      <c r="I5" s="103" t="n"/>
      <c r="J5" s="91" t="n"/>
      <c r="K5" s="97">
        <f>IF(E5="","",IF(E5&lt;F5,"⚠ STOCK BAS","OK"))</f>
        <v/>
      </c>
    </row>
    <row r="6" ht="15" customHeight="1" s="59">
      <c r="I6" s="103" t="n"/>
      <c r="J6" s="91" t="n"/>
      <c r="K6" s="97">
        <f>IF(E6="","",IF(E6&lt;F6,"⚠ STOCK BAS","OK"))</f>
        <v/>
      </c>
    </row>
    <row r="7" ht="15" customHeight="1" s="59">
      <c r="I7" s="103" t="n"/>
      <c r="J7" s="91" t="n"/>
      <c r="K7" s="97">
        <f>IF(E7="","",IF(E7&lt;F7,"⚠ STOCK BAS","OK"))</f>
        <v/>
      </c>
    </row>
    <row r="8" ht="15" customHeight="1" s="59">
      <c r="I8" s="103" t="n"/>
      <c r="J8" s="91" t="n"/>
      <c r="K8" s="97">
        <f>IF(E8="","",IF(E8&lt;F8,"⚠ STOCK BAS","OK"))</f>
        <v/>
      </c>
    </row>
    <row r="9" ht="15" customHeight="1" s="59">
      <c r="I9" s="103" t="n"/>
      <c r="J9" s="91" t="n"/>
      <c r="K9" s="97">
        <f>IF(E9="","",IF(E9&lt;F9,"⚠ STOCK BAS","OK"))</f>
        <v/>
      </c>
    </row>
    <row r="10" ht="15" customHeight="1" s="59">
      <c r="I10" s="103" t="n"/>
      <c r="J10" s="91" t="n"/>
      <c r="K10" s="97">
        <f>IF(E10="","",IF(E10&lt;F10,"⚠ STOCK BAS","OK"))</f>
        <v/>
      </c>
    </row>
    <row r="11" ht="15" customHeight="1" s="59">
      <c r="I11" s="103" t="n"/>
      <c r="J11" s="91" t="n"/>
      <c r="K11" s="97">
        <f>IF(E11="","",IF(E11&lt;F11,"⚠ STOCK BAS","OK"))</f>
        <v/>
      </c>
    </row>
    <row r="12" ht="15" customHeight="1" s="59">
      <c r="I12" s="103" t="n"/>
      <c r="J12" s="91" t="n"/>
      <c r="K12" s="97">
        <f>IF(E12="","",IF(E12&lt;F12,"⚠ STOCK BAS","OK"))</f>
        <v/>
      </c>
    </row>
    <row r="13" ht="15" customHeight="1" s="59">
      <c r="I13" s="103" t="n"/>
      <c r="J13" s="91" t="n"/>
      <c r="K13" s="97">
        <f>IF(E13="","",IF(E13&lt;F13,"⚠ STOCK BAS","OK"))</f>
        <v/>
      </c>
    </row>
    <row r="14" ht="15" customHeight="1" s="59">
      <c r="I14" s="103" t="n"/>
      <c r="J14" s="91" t="n"/>
      <c r="K14" s="97">
        <f>IF(E14="","",IF(E14&lt;F14,"⚠ STOCK BAS","OK"))</f>
        <v/>
      </c>
    </row>
    <row r="15" ht="15" customHeight="1" s="59">
      <c r="I15" s="103" t="n"/>
      <c r="J15" s="91" t="n"/>
      <c r="K15" s="97">
        <f>IF(E15="","",IF(E15&lt;F15,"⚠ STOCK BAS","OK"))</f>
        <v/>
      </c>
    </row>
    <row r="16" ht="15" customHeight="1" s="59">
      <c r="I16" s="103" t="n"/>
      <c r="J16" s="91" t="n"/>
      <c r="K16" s="97">
        <f>IF(E16="","",IF(E16&lt;F16,"⚠ STOCK BAS","OK"))</f>
        <v/>
      </c>
    </row>
    <row r="17" ht="15" customHeight="1" s="59">
      <c r="I17" s="103" t="n"/>
      <c r="J17" s="91" t="n"/>
      <c r="K17" s="97">
        <f>IF(E17="","",IF(E17&lt;F17,"⚠ STOCK BAS","OK"))</f>
        <v/>
      </c>
    </row>
    <row r="18" ht="15" customHeight="1" s="59">
      <c r="I18" s="103" t="n"/>
      <c r="J18" s="91" t="n"/>
      <c r="K18" s="97">
        <f>IF(E18="","",IF(E18&lt;F18,"⚠ STOCK BAS","OK"))</f>
        <v/>
      </c>
    </row>
    <row r="19" ht="15" customHeight="1" s="59">
      <c r="I19" s="103" t="n"/>
      <c r="J19" s="91" t="n"/>
      <c r="K19" s="97">
        <f>IF(E19="","",IF(E19&lt;F19,"⚠ STOCK BAS","OK"))</f>
        <v/>
      </c>
    </row>
    <row r="20" ht="15" customHeight="1" s="59">
      <c r="I20" s="103" t="n"/>
      <c r="J20" s="91" t="n"/>
      <c r="K20" s="97">
        <f>IF(E20="","",IF(E20&lt;F20,"⚠ STOCK BAS","OK"))</f>
        <v/>
      </c>
    </row>
    <row r="21" ht="15" customHeight="1" s="59">
      <c r="I21" s="103" t="n"/>
      <c r="J21" s="91" t="n"/>
      <c r="K21" s="97">
        <f>IF(E21="","",IF(E21&lt;F21,"⚠ STOCK BAS","OK"))</f>
        <v/>
      </c>
    </row>
    <row r="22" ht="15" customHeight="1" s="59">
      <c r="I22" s="103" t="n"/>
      <c r="J22" s="91" t="n"/>
      <c r="K22" s="97">
        <f>IF(E22="","",IF(E22&lt;F22,"⚠ STOCK BAS","OK"))</f>
        <v/>
      </c>
    </row>
    <row r="23" ht="15" customHeight="1" s="59">
      <c r="I23" s="103" t="n"/>
      <c r="J23" s="91" t="n"/>
      <c r="K23" s="97">
        <f>IF(E23="","",IF(E23&lt;F23,"⚠ STOCK BAS","OK"))</f>
        <v/>
      </c>
    </row>
    <row r="24" ht="15" customHeight="1" s="59">
      <c r="I24" s="103" t="n"/>
      <c r="J24" s="91" t="n"/>
      <c r="K24" s="97">
        <f>IF(E24="","",IF(E24&lt;F24,"⚠ STOCK BAS","OK"))</f>
        <v/>
      </c>
    </row>
    <row r="25" ht="15" customHeight="1" s="59">
      <c r="I25" s="103" t="n"/>
      <c r="J25" s="91" t="n"/>
      <c r="K25" s="97">
        <f>IF(E25="","",IF(E25&lt;F25,"⚠ STOCK BAS","OK"))</f>
        <v/>
      </c>
    </row>
    <row r="26" ht="15" customHeight="1" s="59">
      <c r="I26" s="103" t="n"/>
      <c r="J26" s="91" t="n"/>
      <c r="K26" s="97">
        <f>IF(E26="","",IF(E26&lt;F26,"⚠ STOCK BAS","OK"))</f>
        <v/>
      </c>
    </row>
    <row r="27" ht="15" customHeight="1" s="59">
      <c r="I27" s="103" t="n"/>
      <c r="J27" s="91" t="n"/>
      <c r="K27" s="97">
        <f>IF(E27="","",IF(E27&lt;F27,"⚠ STOCK BAS","OK"))</f>
        <v/>
      </c>
    </row>
    <row r="28" ht="15" customHeight="1" s="59">
      <c r="I28" s="103" t="n"/>
      <c r="J28" s="91" t="n"/>
      <c r="K28" s="97">
        <f>IF(E28="","",IF(E28&lt;F28,"⚠ STOCK BAS","OK"))</f>
        <v/>
      </c>
    </row>
    <row r="29" ht="15" customHeight="1" s="59">
      <c r="I29" s="103" t="n"/>
      <c r="J29" s="91" t="n"/>
      <c r="K29" s="97">
        <f>IF(E29="","",IF(E29&lt;F29,"⚠ STOCK BAS","OK"))</f>
        <v/>
      </c>
    </row>
    <row r="30" ht="15" customHeight="1" s="59">
      <c r="I30" s="103" t="n"/>
      <c r="J30" s="91" t="n"/>
      <c r="K30" s="97">
        <f>IF(E30="","",IF(E30&lt;F30,"⚠ STOCK BAS","OK"))</f>
        <v/>
      </c>
    </row>
    <row r="31" ht="15" customHeight="1" s="59">
      <c r="I31" s="103" t="n"/>
      <c r="J31" s="91" t="n"/>
      <c r="K31" s="97">
        <f>IF(E31="","",IF(E31&lt;F31,"⚠ STOCK BAS","OK"))</f>
        <v/>
      </c>
    </row>
    <row r="32" ht="15" customHeight="1" s="59">
      <c r="I32" s="103" t="n"/>
      <c r="J32" s="91" t="n"/>
      <c r="K32" s="97">
        <f>IF(E32="","",IF(E32&lt;F32,"⚠ STOCK BAS","OK"))</f>
        <v/>
      </c>
    </row>
    <row r="33" ht="15" customHeight="1" s="59">
      <c r="I33" s="103" t="n"/>
      <c r="J33" s="91" t="n"/>
      <c r="K33" s="97">
        <f>IF(E33="","",IF(E33&lt;F33,"⚠ STOCK BAS","OK"))</f>
        <v/>
      </c>
    </row>
    <row r="34" ht="15" customHeight="1" s="59">
      <c r="I34" s="103" t="n"/>
      <c r="J34" s="91" t="n"/>
      <c r="K34" s="97">
        <f>IF(E34="","",IF(E34&lt;F34,"⚠ STOCK BAS","OK"))</f>
        <v/>
      </c>
    </row>
    <row r="35" ht="15" customHeight="1" s="59">
      <c r="I35" s="103" t="n"/>
      <c r="J35" s="91" t="n"/>
      <c r="K35" s="97">
        <f>IF(E35="","",IF(E35&lt;F35,"⚠ STOCK BAS","OK"))</f>
        <v/>
      </c>
    </row>
    <row r="36" ht="15" customHeight="1" s="59">
      <c r="I36" s="103" t="n"/>
      <c r="J36" s="91" t="n"/>
      <c r="K36" s="97">
        <f>IF(E36="","",IF(E36&lt;F36,"⚠ STOCK BAS","OK"))</f>
        <v/>
      </c>
    </row>
    <row r="37" ht="15" customHeight="1" s="59">
      <c r="I37" s="103" t="n"/>
      <c r="J37" s="91" t="n"/>
      <c r="K37" s="97">
        <f>IF(E37="","",IF(E37&lt;F37,"⚠ STOCK BAS","OK"))</f>
        <v/>
      </c>
    </row>
    <row r="38" ht="15" customHeight="1" s="59">
      <c r="I38" s="103" t="n"/>
      <c r="J38" s="91" t="n"/>
      <c r="K38" s="97">
        <f>IF(E38="","",IF(E38&lt;F38,"⚠ STOCK BAS","OK"))</f>
        <v/>
      </c>
    </row>
    <row r="39" ht="15" customHeight="1" s="59">
      <c r="I39" s="103" t="n"/>
      <c r="J39" s="91" t="n"/>
      <c r="K39" s="97">
        <f>IF(E39="","",IF(E39&lt;F39,"⚠ STOCK BAS","OK"))</f>
        <v/>
      </c>
    </row>
    <row r="40" ht="15" customHeight="1" s="59">
      <c r="I40" s="103" t="n"/>
      <c r="J40" s="91" t="n"/>
      <c r="K40" s="97">
        <f>IF(E40="","",IF(E40&lt;F40,"⚠ STOCK BAS","OK"))</f>
        <v/>
      </c>
    </row>
    <row r="41" ht="15" customHeight="1" s="59">
      <c r="I41" s="103" t="n"/>
      <c r="J41" s="91" t="n"/>
      <c r="K41" s="97">
        <f>IF(E41="","",IF(E41&lt;F41,"⚠ STOCK BAS","OK"))</f>
        <v/>
      </c>
    </row>
    <row r="42" ht="15" customHeight="1" s="59">
      <c r="I42" s="103" t="n"/>
      <c r="J42" s="91" t="n"/>
      <c r="K42" s="97">
        <f>IF(E42="","",IF(E42&lt;F42,"⚠ STOCK BAS","OK"))</f>
        <v/>
      </c>
    </row>
    <row r="43" ht="15" customHeight="1" s="59">
      <c r="I43" s="103" t="n"/>
      <c r="J43" s="91" t="n"/>
      <c r="K43" s="97">
        <f>IF(E43="","",IF(E43&lt;F43,"⚠ STOCK BAS","OK"))</f>
        <v/>
      </c>
    </row>
    <row r="44" ht="15" customHeight="1" s="59">
      <c r="I44" s="103" t="n"/>
      <c r="J44" s="91" t="n"/>
      <c r="K44" s="97">
        <f>IF(E44="","",IF(E44&lt;F44,"⚠ STOCK BAS","OK"))</f>
        <v/>
      </c>
    </row>
    <row r="45" ht="15" customHeight="1" s="59">
      <c r="I45" s="103" t="n"/>
      <c r="J45" s="91" t="n"/>
      <c r="K45" s="97">
        <f>IF(E45="","",IF(E45&lt;F45,"⚠ STOCK BAS","OK"))</f>
        <v/>
      </c>
    </row>
    <row r="46" ht="15" customHeight="1" s="59">
      <c r="I46" s="103" t="n"/>
      <c r="J46" s="91" t="n"/>
      <c r="K46" s="97">
        <f>IF(E46="","",IF(E46&lt;F46,"⚠ STOCK BAS","OK"))</f>
        <v/>
      </c>
    </row>
    <row r="47" ht="15" customHeight="1" s="59">
      <c r="I47" s="103" t="n"/>
      <c r="J47" s="91" t="n"/>
      <c r="K47" s="97">
        <f>IF(E47="","",IF(E47&lt;F47,"⚠ STOCK BAS","OK"))</f>
        <v/>
      </c>
    </row>
    <row r="48" ht="15" customHeight="1" s="59">
      <c r="I48" s="103" t="n"/>
      <c r="J48" s="91" t="n"/>
      <c r="K48" s="97">
        <f>IF(E48="","",IF(E48&lt;F48,"⚠ STOCK BAS","OK"))</f>
        <v/>
      </c>
    </row>
    <row r="49" ht="15" customHeight="1" s="59">
      <c r="I49" s="103" t="n"/>
      <c r="J49" s="91" t="n"/>
      <c r="K49" s="97">
        <f>IF(E49="","",IF(E49&lt;F49,"⚠ STOCK BAS","OK"))</f>
        <v/>
      </c>
    </row>
    <row r="50" ht="15" customHeight="1" s="59">
      <c r="I50" s="103" t="n"/>
      <c r="J50" s="91" t="n"/>
      <c r="K50" s="97">
        <f>IF(E50="","",IF(E50&lt;F50,"⚠ STOCK BAS","OK"))</f>
        <v/>
      </c>
    </row>
    <row r="51" ht="15" customHeight="1" s="59">
      <c r="I51" s="103" t="n"/>
      <c r="J51" s="91" t="n"/>
      <c r="K51" s="97">
        <f>IF(E51="","",IF(E51&lt;F51,"⚠ STOCK BAS","OK"))</f>
        <v/>
      </c>
    </row>
    <row r="52" ht="15" customHeight="1" s="59">
      <c r="I52" s="103" t="n"/>
      <c r="J52" s="91" t="n"/>
      <c r="K52" s="97">
        <f>IF(E52="","",IF(E52&lt;F52,"⚠ STOCK BAS","OK"))</f>
        <v/>
      </c>
    </row>
    <row r="53" ht="15" customHeight="1" s="59">
      <c r="I53" s="103" t="n"/>
      <c r="J53" s="91" t="n"/>
      <c r="K53" s="97">
        <f>IF(E53="","",IF(E53&lt;F53,"⚠ STOCK BAS","OK"))</f>
        <v/>
      </c>
    </row>
    <row r="54" ht="15" customHeight="1" s="59">
      <c r="I54" s="103" t="n"/>
      <c r="J54" s="91" t="n"/>
      <c r="K54" s="97">
        <f>IF(E54="","",IF(E54&lt;F54,"⚠ STOCK BAS","OK"))</f>
        <v/>
      </c>
    </row>
    <row r="55" ht="15" customHeight="1" s="59">
      <c r="I55" s="103" t="n"/>
      <c r="J55" s="91" t="n"/>
      <c r="K55" s="97">
        <f>IF(E55="","",IF(E55&lt;F55,"⚠ STOCK BAS","OK"))</f>
        <v/>
      </c>
    </row>
    <row r="56" ht="15" customHeight="1" s="59">
      <c r="I56" s="103" t="n"/>
      <c r="J56" s="91" t="n"/>
      <c r="K56" s="97">
        <f>IF(E56="","",IF(E56&lt;F56,"⚠ STOCK BAS","OK"))</f>
        <v/>
      </c>
    </row>
    <row r="57" ht="15" customHeight="1" s="59">
      <c r="I57" s="103" t="n"/>
      <c r="J57" s="91" t="n"/>
      <c r="K57" s="97">
        <f>IF(E57="","",IF(E57&lt;F57,"⚠ STOCK BAS","OK"))</f>
        <v/>
      </c>
    </row>
    <row r="58" ht="15" customHeight="1" s="59">
      <c r="I58" s="103" t="n"/>
      <c r="J58" s="91" t="n"/>
      <c r="K58" s="97">
        <f>IF(E58="","",IF(E58&lt;F58,"⚠ STOCK BAS","OK"))</f>
        <v/>
      </c>
    </row>
    <row r="59" ht="15" customHeight="1" s="59">
      <c r="I59" s="103" t="n"/>
      <c r="J59" s="91" t="n"/>
      <c r="K59" s="97">
        <f>IF(E59="","",IF(E59&lt;F59,"⚠ STOCK BAS","OK"))</f>
        <v/>
      </c>
    </row>
    <row r="60" ht="15" customHeight="1" s="59">
      <c r="I60" s="103" t="n"/>
      <c r="J60" s="91" t="n"/>
      <c r="K60" s="97">
        <f>IF(E60="","",IF(E60&lt;F60,"⚠ STOCK BAS","OK"))</f>
        <v/>
      </c>
    </row>
    <row r="61" ht="15" customHeight="1" s="59">
      <c r="I61" s="103" t="n"/>
      <c r="J61" s="91" t="n"/>
      <c r="K61" s="97">
        <f>IF(E61="","",IF(E61&lt;F61,"⚠ STOCK BAS","OK"))</f>
        <v/>
      </c>
    </row>
    <row r="62" ht="15" customHeight="1" s="59">
      <c r="I62" s="103" t="n"/>
      <c r="J62" s="91" t="n"/>
      <c r="K62" s="97">
        <f>IF(E62="","",IF(E62&lt;F62,"⚠ STOCK BAS","OK"))</f>
        <v/>
      </c>
    </row>
    <row r="63" ht="15" customHeight="1" s="59">
      <c r="I63" s="103" t="n"/>
      <c r="J63" s="91" t="n"/>
      <c r="K63" s="97">
        <f>IF(E63="","",IF(E63&lt;F63,"⚠ STOCK BAS","OK"))</f>
        <v/>
      </c>
    </row>
    <row r="64" ht="15" customHeight="1" s="59">
      <c r="I64" s="103" t="n"/>
      <c r="J64" s="91" t="n"/>
      <c r="K64" s="97">
        <f>IF(E64="","",IF(E64&lt;F64,"⚠ STOCK BAS","OK"))</f>
        <v/>
      </c>
    </row>
    <row r="65" ht="15" customHeight="1" s="59">
      <c r="I65" s="103" t="n"/>
      <c r="J65" s="91" t="n"/>
      <c r="K65" s="97">
        <f>IF(E65="","",IF(E65&lt;F65,"⚠ STOCK BAS","OK"))</f>
        <v/>
      </c>
    </row>
    <row r="66" ht="15" customHeight="1" s="59">
      <c r="I66" s="103" t="n"/>
      <c r="J66" s="91" t="n"/>
      <c r="K66" s="97">
        <f>IF(E66="","",IF(E66&lt;F66,"⚠ STOCK BAS","OK"))</f>
        <v/>
      </c>
    </row>
    <row r="67" ht="15" customHeight="1" s="59">
      <c r="I67" s="103" t="n"/>
      <c r="J67" s="91" t="n"/>
      <c r="K67" s="97">
        <f>IF(E67="","",IF(E67&lt;F67,"⚠ STOCK BAS","OK"))</f>
        <v/>
      </c>
    </row>
    <row r="68" ht="15" customHeight="1" s="59">
      <c r="I68" s="103" t="n"/>
      <c r="J68" s="91" t="n"/>
      <c r="K68" s="97">
        <f>IF(E68="","",IF(E68&lt;F68,"⚠ STOCK BAS","OK"))</f>
        <v/>
      </c>
    </row>
    <row r="69" ht="15" customHeight="1" s="59">
      <c r="I69" s="103" t="n"/>
      <c r="J69" s="91" t="n"/>
      <c r="K69" s="97">
        <f>IF(E69="","",IF(E69&lt;F69,"⚠ STOCK BAS","OK"))</f>
        <v/>
      </c>
    </row>
    <row r="70" ht="15" customHeight="1" s="59">
      <c r="I70" s="103" t="n"/>
      <c r="J70" s="91" t="n"/>
      <c r="K70" s="97">
        <f>IF(E70="","",IF(E70&lt;F70,"⚠ STOCK BAS","OK"))</f>
        <v/>
      </c>
    </row>
    <row r="71" ht="15" customHeight="1" s="59">
      <c r="I71" s="103" t="n"/>
      <c r="J71" s="91" t="n"/>
      <c r="K71" s="97">
        <f>IF(E71="","",IF(E71&lt;F71,"⚠ STOCK BAS","OK"))</f>
        <v/>
      </c>
    </row>
    <row r="72" ht="15" customHeight="1" s="59">
      <c r="I72" s="103" t="n"/>
      <c r="J72" s="91" t="n"/>
      <c r="K72" s="97">
        <f>IF(E72="","",IF(E72&lt;F72,"⚠ STOCK BAS","OK"))</f>
        <v/>
      </c>
    </row>
    <row r="73" ht="15" customHeight="1" s="59">
      <c r="I73" s="103" t="n"/>
      <c r="J73" s="91" t="n"/>
      <c r="K73" s="97">
        <f>IF(E73="","",IF(E73&lt;F73,"⚠ STOCK BAS","OK"))</f>
        <v/>
      </c>
    </row>
    <row r="74" ht="15" customHeight="1" s="59">
      <c r="I74" s="103" t="n"/>
      <c r="J74" s="91" t="n"/>
      <c r="K74" s="97">
        <f>IF(E74="","",IF(E74&lt;F74,"⚠ STOCK BAS","OK"))</f>
        <v/>
      </c>
    </row>
    <row r="75" ht="15" customHeight="1" s="59">
      <c r="I75" s="103" t="n"/>
      <c r="J75" s="91" t="n"/>
      <c r="K75" s="97">
        <f>IF(E75="","",IF(E75&lt;F75,"⚠ STOCK BAS","OK"))</f>
        <v/>
      </c>
    </row>
    <row r="76" ht="15" customHeight="1" s="59">
      <c r="I76" s="103" t="n"/>
      <c r="J76" s="91" t="n"/>
      <c r="K76" s="97">
        <f>IF(E76="","",IF(E76&lt;F76,"⚠ STOCK BAS","OK"))</f>
        <v/>
      </c>
    </row>
    <row r="77" ht="15" customHeight="1" s="59">
      <c r="I77" s="103" t="n"/>
      <c r="J77" s="91" t="n"/>
      <c r="K77" s="97">
        <f>IF(E77="","",IF(E77&lt;F77,"⚠ STOCK BAS","OK"))</f>
        <v/>
      </c>
    </row>
    <row r="78" ht="15" customHeight="1" s="59">
      <c r="I78" s="103" t="n"/>
      <c r="J78" s="91" t="n"/>
      <c r="K78" s="97">
        <f>IF(E78="","",IF(E78&lt;F78,"⚠ STOCK BAS","OK"))</f>
        <v/>
      </c>
    </row>
    <row r="79" ht="15" customHeight="1" s="59">
      <c r="I79" s="103" t="n"/>
      <c r="J79" s="91" t="n"/>
      <c r="K79" s="97">
        <f>IF(E79="","",IF(E79&lt;F79,"⚠ STOCK BAS","OK"))</f>
        <v/>
      </c>
    </row>
    <row r="80" ht="15" customHeight="1" s="59">
      <c r="I80" s="103" t="n"/>
      <c r="J80" s="91" t="n"/>
      <c r="K80" s="97">
        <f>IF(E80="","",IF(E80&lt;F80,"⚠ STOCK BAS","OK"))</f>
        <v/>
      </c>
    </row>
    <row r="81" ht="15" customHeight="1" s="59">
      <c r="I81" s="103" t="n"/>
      <c r="J81" s="91" t="n"/>
      <c r="K81" s="97">
        <f>IF(E81="","",IF(E81&lt;F81,"⚠ STOCK BAS","OK"))</f>
        <v/>
      </c>
    </row>
    <row r="82" ht="15" customHeight="1" s="59">
      <c r="I82" s="103" t="n"/>
      <c r="J82" s="91" t="n"/>
      <c r="K82" s="97">
        <f>IF(E82="","",IF(E82&lt;F82,"⚠ STOCK BAS","OK"))</f>
        <v/>
      </c>
    </row>
    <row r="83" ht="15" customHeight="1" s="59">
      <c r="I83" s="103" t="n"/>
      <c r="J83" s="91" t="n"/>
      <c r="K83" s="97">
        <f>IF(E83="","",IF(E83&lt;F83,"⚠ STOCK BAS","OK"))</f>
        <v/>
      </c>
    </row>
    <row r="84" ht="15" customHeight="1" s="59">
      <c r="I84" s="103" t="n"/>
      <c r="J84" s="91" t="n"/>
      <c r="K84" s="97">
        <f>IF(E84="","",IF(E84&lt;F84,"⚠ STOCK BAS","OK"))</f>
        <v/>
      </c>
    </row>
    <row r="85" ht="15" customHeight="1" s="59">
      <c r="I85" s="103" t="n"/>
      <c r="J85" s="91" t="n"/>
      <c r="K85" s="97">
        <f>IF(E85="","",IF(E85&lt;F85,"⚠ STOCK BAS","OK"))</f>
        <v/>
      </c>
    </row>
    <row r="86" ht="15" customHeight="1" s="59">
      <c r="I86" s="103" t="n"/>
      <c r="J86" s="91" t="n"/>
      <c r="K86" s="97">
        <f>IF(E86="","",IF(E86&lt;F86,"⚠ STOCK BAS","OK"))</f>
        <v/>
      </c>
    </row>
    <row r="87" ht="15" customHeight="1" s="59">
      <c r="I87" s="103" t="n"/>
      <c r="J87" s="91" t="n"/>
      <c r="K87" s="97">
        <f>IF(E87="","",IF(E87&lt;F87,"⚠ STOCK BAS","OK"))</f>
        <v/>
      </c>
    </row>
    <row r="88" ht="15" customHeight="1" s="59">
      <c r="I88" s="103" t="n"/>
      <c r="J88" s="91" t="n"/>
      <c r="K88" s="97">
        <f>IF(E88="","",IF(E88&lt;F88,"⚠ STOCK BAS","OK"))</f>
        <v/>
      </c>
    </row>
    <row r="89" ht="15" customHeight="1" s="59">
      <c r="I89" s="103" t="n"/>
      <c r="J89" s="91" t="n"/>
      <c r="K89" s="97">
        <f>IF(E89="","",IF(E89&lt;F89,"⚠ STOCK BAS","OK"))</f>
        <v/>
      </c>
    </row>
    <row r="90" ht="15" customHeight="1" s="59">
      <c r="I90" s="103" t="n"/>
      <c r="J90" s="91" t="n"/>
      <c r="K90" s="97">
        <f>IF(E90="","",IF(E90&lt;F90,"⚠ STOCK BAS","OK"))</f>
        <v/>
      </c>
    </row>
    <row r="91" ht="15" customHeight="1" s="59">
      <c r="I91" s="103" t="n"/>
      <c r="J91" s="91" t="n"/>
      <c r="K91" s="97">
        <f>IF(E91="","",IF(E91&lt;F91,"⚠ STOCK BAS","OK"))</f>
        <v/>
      </c>
    </row>
    <row r="92" ht="15" customHeight="1" s="59">
      <c r="I92" s="103" t="n"/>
      <c r="J92" s="91" t="n"/>
      <c r="K92" s="97">
        <f>IF(E92="","",IF(E92&lt;F92,"⚠ STOCK BAS","OK"))</f>
        <v/>
      </c>
    </row>
    <row r="93" ht="15" customHeight="1" s="59">
      <c r="I93" s="103" t="n"/>
      <c r="J93" s="91" t="n"/>
      <c r="K93" s="97">
        <f>IF(E93="","",IF(E93&lt;F93,"⚠ STOCK BAS","OK"))</f>
        <v/>
      </c>
    </row>
    <row r="94" ht="15" customHeight="1" s="59">
      <c r="I94" s="103" t="n"/>
      <c r="J94" s="91" t="n"/>
      <c r="K94" s="97">
        <f>IF(E94="","",IF(E94&lt;F94,"⚠ STOCK BAS","OK"))</f>
        <v/>
      </c>
    </row>
    <row r="95" ht="15" customHeight="1" s="59">
      <c r="I95" s="103" t="n"/>
      <c r="J95" s="91" t="n"/>
      <c r="K95" s="97">
        <f>IF(E95="","",IF(E95&lt;F95,"⚠ STOCK BAS","OK"))</f>
        <v/>
      </c>
    </row>
    <row r="96" ht="15" customHeight="1" s="59">
      <c r="I96" s="103" t="n"/>
      <c r="J96" s="91" t="n"/>
      <c r="K96" s="97">
        <f>IF(E96="","",IF(E96&lt;F96,"⚠ STOCK BAS","OK"))</f>
        <v/>
      </c>
    </row>
    <row r="97" ht="15" customHeight="1" s="59">
      <c r="I97" s="103" t="n"/>
      <c r="J97" s="91" t="n"/>
      <c r="K97" s="97">
        <f>IF(E97="","",IF(E97&lt;F97,"⚠ STOCK BAS","OK"))</f>
        <v/>
      </c>
    </row>
    <row r="98" ht="15" customHeight="1" s="59">
      <c r="I98" s="103" t="n"/>
      <c r="J98" s="91" t="n"/>
      <c r="K98" s="97">
        <f>IF(E98="","",IF(E98&lt;F98,"⚠ STOCK BAS","OK"))</f>
        <v/>
      </c>
    </row>
    <row r="99" ht="15" customHeight="1" s="59">
      <c r="I99" s="103" t="n"/>
      <c r="J99" s="91" t="n"/>
      <c r="K99" s="97">
        <f>IF(E99="","",IF(E99&lt;F99,"⚠ STOCK BAS","OK"))</f>
        <v/>
      </c>
    </row>
    <row r="100" ht="15" customHeight="1" s="59">
      <c r="I100" s="103" t="n"/>
      <c r="J100" s="91" t="n"/>
      <c r="K100" s="97">
        <f>IF(E100="","",IF(E100&lt;F100,"⚠ STOCK BAS","OK"))</f>
        <v/>
      </c>
    </row>
    <row r="101" ht="15" customHeight="1" s="59">
      <c r="I101" s="103" t="n"/>
      <c r="J101" s="91" t="n"/>
      <c r="K101" s="97">
        <f>IF(E101="","",IF(E101&lt;F101,"⚠ STOCK BAS","OK"))</f>
        <v/>
      </c>
    </row>
    <row r="102" ht="15" customHeight="1" s="59">
      <c r="I102" s="103" t="n"/>
      <c r="J102" s="91" t="n"/>
      <c r="K102" s="97">
        <f>IF(E102="","",IF(E102&lt;F102,"⚠ STOCK BAS","OK"))</f>
        <v/>
      </c>
    </row>
    <row r="103" ht="15" customHeight="1" s="59">
      <c r="I103" s="103" t="n"/>
      <c r="J103" s="91" t="n"/>
      <c r="K103" s="97">
        <f>IF(E103="","",IF(E103&lt;F103,"⚠ STOCK BAS","OK"))</f>
        <v/>
      </c>
    </row>
    <row r="104" ht="15" customHeight="1" s="59">
      <c r="I104" s="103" t="n"/>
      <c r="J104" s="91" t="n"/>
      <c r="K104" s="97">
        <f>IF(E104="","",IF(E104&lt;F104,"⚠ STOCK BAS","OK"))</f>
        <v/>
      </c>
    </row>
    <row r="105" ht="15" customHeight="1" s="59">
      <c r="I105" s="103" t="n"/>
      <c r="J105" s="91" t="n"/>
      <c r="K105" s="97">
        <f>IF(E105="","",IF(E105&lt;F105,"⚠ STOCK BAS","OK"))</f>
        <v/>
      </c>
    </row>
    <row r="106" ht="15" customHeight="1" s="59">
      <c r="I106" s="103" t="n"/>
      <c r="J106" s="91" t="n"/>
      <c r="K106" s="97">
        <f>IF(E106="","",IF(E106&lt;F106,"⚠ STOCK BAS","OK"))</f>
        <v/>
      </c>
    </row>
    <row r="107" ht="15" customHeight="1" s="59">
      <c r="I107" s="103" t="n"/>
      <c r="J107" s="91" t="n"/>
      <c r="K107" s="97">
        <f>IF(E107="","",IF(E107&lt;F107,"⚠ STOCK BAS","OK"))</f>
        <v/>
      </c>
    </row>
    <row r="108" ht="15" customHeight="1" s="59">
      <c r="I108" s="103" t="n"/>
      <c r="J108" s="91" t="n"/>
      <c r="K108" s="97">
        <f>IF(E108="","",IF(E108&lt;F108,"⚠ STOCK BAS","OK"))</f>
        <v/>
      </c>
    </row>
    <row r="109" ht="15" customHeight="1" s="59">
      <c r="I109" s="103" t="n"/>
      <c r="J109" s="91" t="n"/>
      <c r="K109" s="97">
        <f>IF(E109="","",IF(E109&lt;F109,"⚠ STOCK BAS","OK"))</f>
        <v/>
      </c>
    </row>
    <row r="110" ht="15" customHeight="1" s="59">
      <c r="I110" s="103" t="n"/>
      <c r="J110" s="91" t="n"/>
      <c r="K110" s="97">
        <f>IF(E110="","",IF(E110&lt;F110,"⚠ STOCK BAS","OK"))</f>
        <v/>
      </c>
    </row>
    <row r="111" ht="15" customHeight="1" s="59">
      <c r="I111" s="103" t="n"/>
      <c r="J111" s="91" t="n"/>
      <c r="K111" s="97">
        <f>IF(E111="","",IF(E111&lt;F111,"⚠ STOCK BAS","OK"))</f>
        <v/>
      </c>
    </row>
    <row r="112" ht="15" customHeight="1" s="59">
      <c r="I112" s="103" t="n"/>
      <c r="J112" s="91" t="n"/>
      <c r="K112" s="97">
        <f>IF(E112="","",IF(E112&lt;F112,"⚠ STOCK BAS","OK"))</f>
        <v/>
      </c>
    </row>
    <row r="113" ht="15" customHeight="1" s="59">
      <c r="I113" s="103" t="n"/>
      <c r="J113" s="91" t="n"/>
      <c r="K113" s="97">
        <f>IF(E113="","",IF(E113&lt;F113,"⚠ STOCK BAS","OK"))</f>
        <v/>
      </c>
    </row>
    <row r="114" ht="15" customHeight="1" s="59">
      <c r="I114" s="103" t="n"/>
      <c r="J114" s="91" t="n"/>
      <c r="K114" s="97">
        <f>IF(E114="","",IF(E114&lt;F114,"⚠ STOCK BAS","OK"))</f>
        <v/>
      </c>
    </row>
    <row r="115" ht="15" customHeight="1" s="59">
      <c r="I115" s="103" t="n"/>
      <c r="J115" s="91" t="n"/>
      <c r="K115" s="97">
        <f>IF(E115="","",IF(E115&lt;F115,"⚠ STOCK BAS","OK"))</f>
        <v/>
      </c>
    </row>
    <row r="116" ht="15" customHeight="1" s="59">
      <c r="I116" s="103" t="n"/>
      <c r="J116" s="91" t="n"/>
      <c r="K116" s="97">
        <f>IF(E116="","",IF(E116&lt;F116,"⚠ STOCK BAS","OK"))</f>
        <v/>
      </c>
    </row>
    <row r="117" ht="15" customHeight="1" s="59">
      <c r="I117" s="103" t="n"/>
      <c r="J117" s="91" t="n"/>
      <c r="K117" s="97">
        <f>IF(E117="","",IF(E117&lt;F117,"⚠ STOCK BAS","OK"))</f>
        <v/>
      </c>
    </row>
    <row r="118" ht="15" customHeight="1" s="59">
      <c r="I118" s="103" t="n"/>
      <c r="J118" s="91" t="n"/>
      <c r="K118" s="97">
        <f>IF(E118="","",IF(E118&lt;F118,"⚠ STOCK BAS","OK"))</f>
        <v/>
      </c>
    </row>
    <row r="119" ht="15" customHeight="1" s="59">
      <c r="I119" s="103" t="n"/>
      <c r="J119" s="91" t="n"/>
      <c r="K119" s="97">
        <f>IF(E119="","",IF(E119&lt;F119,"⚠ STOCK BAS","OK"))</f>
        <v/>
      </c>
    </row>
    <row r="120" ht="15" customHeight="1" s="59">
      <c r="I120" s="103" t="n"/>
      <c r="J120" s="91" t="n"/>
      <c r="K120" s="97">
        <f>IF(E120="","",IF(E120&lt;F120,"⚠ STOCK BAS","OK"))</f>
        <v/>
      </c>
    </row>
    <row r="121" ht="15" customHeight="1" s="59">
      <c r="I121" s="103" t="n"/>
      <c r="J121" s="91" t="n"/>
      <c r="K121" s="97">
        <f>IF(E121="","",IF(E121&lt;F121,"⚠ STOCK BAS","OK"))</f>
        <v/>
      </c>
    </row>
    <row r="122" ht="15" customHeight="1" s="59">
      <c r="I122" s="103" t="n"/>
      <c r="J122" s="91" t="n"/>
      <c r="K122" s="97">
        <f>IF(E122="","",IF(E122&lt;F122,"⚠ STOCK BAS","OK"))</f>
        <v/>
      </c>
    </row>
    <row r="123" ht="15" customHeight="1" s="59">
      <c r="I123" s="103" t="n"/>
      <c r="J123" s="91" t="n"/>
      <c r="K123" s="97">
        <f>IF(E123="","",IF(E123&lt;F123,"⚠ STOCK BAS","OK"))</f>
        <v/>
      </c>
    </row>
    <row r="124" ht="15" customHeight="1" s="59">
      <c r="I124" s="103" t="n"/>
      <c r="J124" s="91" t="n"/>
      <c r="K124" s="97">
        <f>IF(E124="","",IF(E124&lt;F124,"⚠ STOCK BAS","OK"))</f>
        <v/>
      </c>
    </row>
    <row r="125" ht="15" customHeight="1" s="59">
      <c r="I125" s="103" t="n"/>
      <c r="J125" s="91" t="n"/>
      <c r="K125" s="97">
        <f>IF(E125="","",IF(E125&lt;F125,"⚠ STOCK BAS","OK"))</f>
        <v/>
      </c>
    </row>
    <row r="126" ht="15" customHeight="1" s="59">
      <c r="I126" s="103" t="n"/>
      <c r="J126" s="91" t="n"/>
      <c r="K126" s="97">
        <f>IF(E126="","",IF(E126&lt;F126,"⚠ STOCK BAS","OK"))</f>
        <v/>
      </c>
    </row>
    <row r="127" ht="15" customHeight="1" s="59">
      <c r="I127" s="103" t="n"/>
      <c r="J127" s="91" t="n"/>
      <c r="K127" s="97">
        <f>IF(E127="","",IF(E127&lt;F127,"⚠ STOCK BAS","OK"))</f>
        <v/>
      </c>
    </row>
    <row r="128" ht="15" customHeight="1" s="59">
      <c r="I128" s="103" t="n"/>
      <c r="J128" s="91" t="n"/>
      <c r="K128" s="97">
        <f>IF(E128="","",IF(E128&lt;F128,"⚠ STOCK BAS","OK"))</f>
        <v/>
      </c>
    </row>
    <row r="129" ht="15" customHeight="1" s="59">
      <c r="I129" s="103" t="n"/>
      <c r="J129" s="91" t="n"/>
      <c r="K129" s="97">
        <f>IF(E129="","",IF(E129&lt;F129,"⚠ STOCK BAS","OK"))</f>
        <v/>
      </c>
    </row>
    <row r="130" ht="15" customHeight="1" s="59">
      <c r="I130" s="103" t="n"/>
      <c r="J130" s="91" t="n"/>
      <c r="K130" s="97">
        <f>IF(E130="","",IF(E130&lt;F130,"⚠ STOCK BAS","OK"))</f>
        <v/>
      </c>
    </row>
    <row r="131" ht="15" customHeight="1" s="59">
      <c r="I131" s="103" t="n"/>
      <c r="J131" s="91" t="n"/>
      <c r="K131" s="97">
        <f>IF(E131="","",IF(E131&lt;F131,"⚠ STOCK BAS","OK"))</f>
        <v/>
      </c>
    </row>
    <row r="132" ht="15" customHeight="1" s="59">
      <c r="I132" s="103" t="n"/>
      <c r="J132" s="91" t="n"/>
      <c r="K132" s="97">
        <f>IF(E132="","",IF(E132&lt;F132,"⚠ STOCK BAS","OK"))</f>
        <v/>
      </c>
    </row>
    <row r="133" ht="15" customHeight="1" s="59">
      <c r="I133" s="103" t="n"/>
      <c r="J133" s="91" t="n"/>
      <c r="K133" s="97">
        <f>IF(E133="","",IF(E133&lt;F133,"⚠ STOCK BAS","OK"))</f>
        <v/>
      </c>
    </row>
    <row r="134" ht="15" customHeight="1" s="59">
      <c r="I134" s="103" t="n"/>
      <c r="J134" s="91" t="n"/>
      <c r="K134" s="97">
        <f>IF(E134="","",IF(E134&lt;F134,"⚠ STOCK BAS","OK"))</f>
        <v/>
      </c>
    </row>
    <row r="135" ht="15" customHeight="1" s="59">
      <c r="I135" s="103" t="n"/>
      <c r="J135" s="91" t="n"/>
      <c r="K135" s="97">
        <f>IF(E135="","",IF(E135&lt;F135,"⚠ STOCK BAS","OK"))</f>
        <v/>
      </c>
    </row>
    <row r="136" ht="15" customHeight="1" s="59">
      <c r="I136" s="103" t="n"/>
      <c r="J136" s="91" t="n"/>
      <c r="K136" s="97">
        <f>IF(E136="","",IF(E136&lt;F136,"⚠ STOCK BAS","OK"))</f>
        <v/>
      </c>
    </row>
    <row r="137" ht="15" customHeight="1" s="59">
      <c r="I137" s="103" t="n"/>
      <c r="J137" s="91" t="n"/>
      <c r="K137" s="97">
        <f>IF(E137="","",IF(E137&lt;F137,"⚠ STOCK BAS","OK"))</f>
        <v/>
      </c>
    </row>
    <row r="138" ht="15" customHeight="1" s="59">
      <c r="I138" s="103" t="n"/>
      <c r="J138" s="91" t="n"/>
      <c r="K138" s="97">
        <f>IF(E138="","",IF(E138&lt;F138,"⚠ STOCK BAS","OK"))</f>
        <v/>
      </c>
    </row>
    <row r="139" ht="15" customHeight="1" s="59">
      <c r="I139" s="103" t="n"/>
      <c r="J139" s="91" t="n"/>
      <c r="K139" s="97">
        <f>IF(E139="","",IF(E139&lt;F139,"⚠ STOCK BAS","OK"))</f>
        <v/>
      </c>
    </row>
    <row r="140" ht="15" customHeight="1" s="59">
      <c r="I140" s="103" t="n"/>
      <c r="J140" s="91" t="n"/>
      <c r="K140" s="97">
        <f>IF(E140="","",IF(E140&lt;F140,"⚠ STOCK BAS","OK"))</f>
        <v/>
      </c>
    </row>
    <row r="141" ht="15" customHeight="1" s="59">
      <c r="I141" s="103" t="n"/>
      <c r="J141" s="91" t="n"/>
      <c r="K141" s="97">
        <f>IF(E141="","",IF(E141&lt;F141,"⚠ STOCK BAS","OK"))</f>
        <v/>
      </c>
    </row>
    <row r="142" ht="15" customHeight="1" s="59">
      <c r="I142" s="103" t="n"/>
      <c r="J142" s="91" t="n"/>
      <c r="K142" s="97">
        <f>IF(E142="","",IF(E142&lt;F142,"⚠ STOCK BAS","OK"))</f>
        <v/>
      </c>
    </row>
    <row r="143" ht="15" customHeight="1" s="59">
      <c r="I143" s="103" t="n"/>
      <c r="J143" s="91" t="n"/>
      <c r="K143" s="97">
        <f>IF(E143="","",IF(E143&lt;F143,"⚠ STOCK BAS","OK"))</f>
        <v/>
      </c>
    </row>
    <row r="144" ht="15" customHeight="1" s="59">
      <c r="I144" s="103" t="n"/>
      <c r="J144" s="91" t="n"/>
      <c r="K144" s="97">
        <f>IF(E144="","",IF(E144&lt;F144,"⚠ STOCK BAS","OK"))</f>
        <v/>
      </c>
    </row>
    <row r="145" ht="15" customHeight="1" s="59">
      <c r="I145" s="103" t="n"/>
      <c r="J145" s="91" t="n"/>
      <c r="K145" s="97">
        <f>IF(E145="","",IF(E145&lt;F145,"⚠ STOCK BAS","OK"))</f>
        <v/>
      </c>
    </row>
    <row r="146" ht="15" customHeight="1" s="59">
      <c r="I146" s="103" t="n"/>
      <c r="J146" s="91" t="n"/>
      <c r="K146" s="97">
        <f>IF(E146="","",IF(E146&lt;F146,"⚠ STOCK BAS","OK"))</f>
        <v/>
      </c>
    </row>
    <row r="147" ht="15" customHeight="1" s="59">
      <c r="I147" s="103" t="n"/>
      <c r="J147" s="91" t="n"/>
      <c r="K147" s="97">
        <f>IF(E147="","",IF(E147&lt;F147,"⚠ STOCK BAS","OK"))</f>
        <v/>
      </c>
    </row>
    <row r="148" ht="15" customHeight="1" s="59">
      <c r="I148" s="103" t="n"/>
      <c r="J148" s="91" t="n"/>
      <c r="K148" s="97">
        <f>IF(E148="","",IF(E148&lt;F148,"⚠ STOCK BAS","OK"))</f>
        <v/>
      </c>
    </row>
    <row r="149" ht="15" customHeight="1" s="59">
      <c r="I149" s="103" t="n"/>
      <c r="J149" s="91" t="n"/>
      <c r="K149" s="97">
        <f>IF(E149="","",IF(E149&lt;F149,"⚠ STOCK BAS","OK"))</f>
        <v/>
      </c>
    </row>
    <row r="150" ht="15" customHeight="1" s="59">
      <c r="I150" s="103" t="n"/>
      <c r="J150" s="91" t="n"/>
      <c r="K150" s="97">
        <f>IF(E150="","",IF(E150&lt;F150,"⚠ STOCK BAS","OK"))</f>
        <v/>
      </c>
    </row>
    <row r="151" ht="15" customHeight="1" s="59">
      <c r="I151" s="103" t="n"/>
      <c r="J151" s="91" t="n"/>
      <c r="K151" s="97">
        <f>IF(E151="","",IF(E151&lt;F151,"⚠ STOCK BAS","OK"))</f>
        <v/>
      </c>
    </row>
    <row r="152" ht="15" customHeight="1" s="59">
      <c r="I152" s="103" t="n"/>
      <c r="J152" s="91" t="n"/>
      <c r="K152" s="97">
        <f>IF(E152="","",IF(E152&lt;F152,"⚠ STOCK BAS","OK"))</f>
        <v/>
      </c>
    </row>
    <row r="153" ht="15" customHeight="1" s="59">
      <c r="I153" s="103" t="n"/>
      <c r="J153" s="91" t="n"/>
      <c r="K153" s="97">
        <f>IF(E153="","",IF(E153&lt;F153,"⚠ STOCK BAS","OK"))</f>
        <v/>
      </c>
    </row>
    <row r="154" ht="15" customHeight="1" s="59">
      <c r="I154" s="103" t="n"/>
      <c r="J154" s="91" t="n"/>
      <c r="K154" s="97">
        <f>IF(E154="","",IF(E154&lt;F154,"⚠ STOCK BAS","OK"))</f>
        <v/>
      </c>
    </row>
    <row r="155" ht="15" customHeight="1" s="59">
      <c r="I155" s="103" t="n"/>
      <c r="J155" s="91" t="n"/>
      <c r="K155" s="97">
        <f>IF(E155="","",IF(E155&lt;F155,"⚠ STOCK BAS","OK"))</f>
        <v/>
      </c>
    </row>
    <row r="156" ht="15" customHeight="1" s="59">
      <c r="I156" s="103" t="n"/>
      <c r="J156" s="91" t="n"/>
      <c r="K156" s="97">
        <f>IF(E156="","",IF(E156&lt;F156,"⚠ STOCK BAS","OK"))</f>
        <v/>
      </c>
    </row>
    <row r="157" ht="15" customHeight="1" s="59">
      <c r="I157" s="103" t="n"/>
      <c r="J157" s="91" t="n"/>
      <c r="K157" s="97">
        <f>IF(E157="","",IF(E157&lt;F157,"⚠ STOCK BAS","OK"))</f>
        <v/>
      </c>
    </row>
    <row r="158" ht="15" customHeight="1" s="59">
      <c r="I158" s="103" t="n"/>
      <c r="J158" s="91" t="n"/>
      <c r="K158" s="97">
        <f>IF(E158="","",IF(E158&lt;F158,"⚠ STOCK BAS","OK"))</f>
        <v/>
      </c>
    </row>
    <row r="159" ht="15" customHeight="1" s="59">
      <c r="I159" s="103" t="n"/>
      <c r="J159" s="91" t="n"/>
      <c r="K159" s="97">
        <f>IF(E159="","",IF(E159&lt;F159,"⚠ STOCK BAS","OK"))</f>
        <v/>
      </c>
    </row>
    <row r="160" ht="15" customHeight="1" s="59">
      <c r="I160" s="103" t="n"/>
      <c r="J160" s="91" t="n"/>
      <c r="K160" s="97">
        <f>IF(E160="","",IF(E160&lt;F160,"⚠ STOCK BAS","OK"))</f>
        <v/>
      </c>
    </row>
    <row r="161" ht="15" customHeight="1" s="59">
      <c r="I161" s="103" t="n"/>
      <c r="J161" s="91" t="n"/>
      <c r="K161" s="97">
        <f>IF(E161="","",IF(E161&lt;F161,"⚠ STOCK BAS","OK"))</f>
        <v/>
      </c>
    </row>
    <row r="162" ht="15" customHeight="1" s="59">
      <c r="I162" s="103" t="n"/>
      <c r="J162" s="91" t="n"/>
      <c r="K162" s="97">
        <f>IF(E162="","",IF(E162&lt;F162,"⚠ STOCK BAS","OK"))</f>
        <v/>
      </c>
    </row>
    <row r="163" ht="15" customHeight="1" s="59">
      <c r="I163" s="103" t="n"/>
      <c r="J163" s="91" t="n"/>
      <c r="K163" s="97">
        <f>IF(E163="","",IF(E163&lt;F163,"⚠ STOCK BAS","OK"))</f>
        <v/>
      </c>
    </row>
    <row r="164" ht="15" customHeight="1" s="59">
      <c r="I164" s="103" t="n"/>
      <c r="J164" s="91" t="n"/>
      <c r="K164" s="97">
        <f>IF(E164="","",IF(E164&lt;F164,"⚠ STOCK BAS","OK"))</f>
        <v/>
      </c>
    </row>
    <row r="165" ht="15" customHeight="1" s="59">
      <c r="I165" s="103" t="n"/>
      <c r="J165" s="91" t="n"/>
      <c r="K165" s="97">
        <f>IF(E165="","",IF(E165&lt;F165,"⚠ STOCK BAS","OK"))</f>
        <v/>
      </c>
    </row>
    <row r="166" ht="15" customHeight="1" s="59">
      <c r="I166" s="103" t="n"/>
      <c r="J166" s="91" t="n"/>
      <c r="K166" s="97">
        <f>IF(E166="","",IF(E166&lt;F166,"⚠ STOCK BAS","OK"))</f>
        <v/>
      </c>
    </row>
    <row r="167" ht="15" customHeight="1" s="59">
      <c r="I167" s="103" t="n"/>
      <c r="J167" s="91" t="n"/>
      <c r="K167" s="97">
        <f>IF(E167="","",IF(E167&lt;F167,"⚠ STOCK BAS","OK"))</f>
        <v/>
      </c>
    </row>
    <row r="168" ht="15" customHeight="1" s="59">
      <c r="I168" s="103" t="n"/>
      <c r="J168" s="91" t="n"/>
      <c r="K168" s="97">
        <f>IF(E168="","",IF(E168&lt;F168,"⚠ STOCK BAS","OK"))</f>
        <v/>
      </c>
    </row>
    <row r="169" ht="15" customHeight="1" s="59">
      <c r="I169" s="103" t="n"/>
      <c r="J169" s="91" t="n"/>
      <c r="K169" s="97">
        <f>IF(E169="","",IF(E169&lt;F169,"⚠ STOCK BAS","OK"))</f>
        <v/>
      </c>
    </row>
    <row r="170" ht="15" customHeight="1" s="59">
      <c r="I170" s="103" t="n"/>
      <c r="J170" s="91" t="n"/>
      <c r="K170" s="97">
        <f>IF(E170="","",IF(E170&lt;F170,"⚠ STOCK BAS","OK"))</f>
        <v/>
      </c>
    </row>
    <row r="171" ht="15" customHeight="1" s="59">
      <c r="I171" s="103" t="n"/>
      <c r="J171" s="91" t="n"/>
      <c r="K171" s="97">
        <f>IF(E171="","",IF(E171&lt;F171,"⚠ STOCK BAS","OK"))</f>
        <v/>
      </c>
    </row>
    <row r="172" ht="15" customHeight="1" s="59">
      <c r="I172" s="103" t="n"/>
      <c r="J172" s="91" t="n"/>
      <c r="K172" s="97">
        <f>IF(E172="","",IF(E172&lt;F172,"⚠ STOCK BAS","OK"))</f>
        <v/>
      </c>
    </row>
    <row r="173" ht="15" customHeight="1" s="59">
      <c r="I173" s="103" t="n"/>
      <c r="J173" s="91" t="n"/>
      <c r="K173" s="97">
        <f>IF(E173="","",IF(E173&lt;F173,"⚠ STOCK BAS","OK"))</f>
        <v/>
      </c>
    </row>
    <row r="174" ht="15" customHeight="1" s="59">
      <c r="I174" s="103" t="n"/>
      <c r="J174" s="91" t="n"/>
      <c r="K174" s="97">
        <f>IF(E174="","",IF(E174&lt;F174,"⚠ STOCK BAS","OK"))</f>
        <v/>
      </c>
    </row>
    <row r="175" ht="15" customHeight="1" s="59">
      <c r="I175" s="103" t="n"/>
      <c r="J175" s="91" t="n"/>
      <c r="K175" s="97">
        <f>IF(E175="","",IF(E175&lt;F175,"⚠ STOCK BAS","OK"))</f>
        <v/>
      </c>
    </row>
    <row r="176" ht="15" customHeight="1" s="59">
      <c r="I176" s="103" t="n"/>
      <c r="J176" s="91" t="n"/>
      <c r="K176" s="97">
        <f>IF(E176="","",IF(E176&lt;F176,"⚠ STOCK BAS","OK"))</f>
        <v/>
      </c>
    </row>
    <row r="177" ht="15" customHeight="1" s="59">
      <c r="I177" s="103" t="n"/>
      <c r="J177" s="91" t="n"/>
      <c r="K177" s="97">
        <f>IF(E177="","",IF(E177&lt;F177,"⚠ STOCK BAS","OK"))</f>
        <v/>
      </c>
    </row>
    <row r="178" ht="15" customHeight="1" s="59">
      <c r="I178" s="103" t="n"/>
      <c r="J178" s="91" t="n"/>
      <c r="K178" s="97">
        <f>IF(E178="","",IF(E178&lt;F178,"⚠ STOCK BAS","OK"))</f>
        <v/>
      </c>
    </row>
    <row r="179" ht="15" customHeight="1" s="59">
      <c r="I179" s="103" t="n"/>
      <c r="J179" s="91" t="n"/>
      <c r="K179" s="97">
        <f>IF(E179="","",IF(E179&lt;F179,"⚠ STOCK BAS","OK"))</f>
        <v/>
      </c>
    </row>
    <row r="180" ht="15" customHeight="1" s="59">
      <c r="I180" s="103" t="n"/>
      <c r="J180" s="91" t="n"/>
      <c r="K180" s="97">
        <f>IF(E180="","",IF(E180&lt;F180,"⚠ STOCK BAS","OK"))</f>
        <v/>
      </c>
    </row>
    <row r="181" ht="15" customHeight="1" s="59">
      <c r="I181" s="103" t="n"/>
      <c r="J181" s="91" t="n"/>
      <c r="K181" s="97">
        <f>IF(E181="","",IF(E181&lt;F181,"⚠ STOCK BAS","OK"))</f>
        <v/>
      </c>
    </row>
    <row r="182" ht="15" customHeight="1" s="59">
      <c r="I182" s="103" t="n"/>
      <c r="J182" s="91" t="n"/>
      <c r="K182" s="97">
        <f>IF(E182="","",IF(E182&lt;F182,"⚠ STOCK BAS","OK"))</f>
        <v/>
      </c>
    </row>
    <row r="183" ht="15" customHeight="1" s="59">
      <c r="I183" s="103" t="n"/>
      <c r="J183" s="91" t="n"/>
      <c r="K183" s="97">
        <f>IF(E183="","",IF(E183&lt;F183,"⚠ STOCK BAS","OK"))</f>
        <v/>
      </c>
    </row>
    <row r="184" ht="15" customHeight="1" s="59">
      <c r="I184" s="103" t="n"/>
      <c r="J184" s="91" t="n"/>
      <c r="K184" s="97">
        <f>IF(E184="","",IF(E184&lt;F184,"⚠ STOCK BAS","OK"))</f>
        <v/>
      </c>
    </row>
    <row r="185" ht="15" customHeight="1" s="59">
      <c r="I185" s="103" t="n"/>
      <c r="J185" s="91" t="n"/>
      <c r="K185" s="97">
        <f>IF(E185="","",IF(E185&lt;F185,"⚠ STOCK BAS","OK"))</f>
        <v/>
      </c>
    </row>
    <row r="186" ht="15" customHeight="1" s="59">
      <c r="I186" s="103" t="n"/>
      <c r="J186" s="91" t="n"/>
      <c r="K186" s="97">
        <f>IF(E186="","",IF(E186&lt;F186,"⚠ STOCK BAS","OK"))</f>
        <v/>
      </c>
    </row>
    <row r="187" ht="15" customHeight="1" s="59">
      <c r="I187" s="103" t="n"/>
      <c r="J187" s="91" t="n"/>
      <c r="K187" s="97">
        <f>IF(E187="","",IF(E187&lt;F187,"⚠ STOCK BAS","OK"))</f>
        <v/>
      </c>
    </row>
    <row r="188" ht="15" customHeight="1" s="59">
      <c r="I188" s="103" t="n"/>
      <c r="J188" s="91" t="n"/>
      <c r="K188" s="97">
        <f>IF(E188="","",IF(E188&lt;F188,"⚠ STOCK BAS","OK"))</f>
        <v/>
      </c>
    </row>
    <row r="189" ht="15" customHeight="1" s="59">
      <c r="I189" s="103" t="n"/>
      <c r="J189" s="91" t="n"/>
      <c r="K189" s="97">
        <f>IF(E189="","",IF(E189&lt;F189,"⚠ STOCK BAS","OK"))</f>
        <v/>
      </c>
    </row>
    <row r="190" ht="15" customHeight="1" s="59">
      <c r="I190" s="103" t="n"/>
      <c r="J190" s="91" t="n"/>
      <c r="K190" s="97">
        <f>IF(E190="","",IF(E190&lt;F190,"⚠ STOCK BAS","OK"))</f>
        <v/>
      </c>
    </row>
    <row r="191" ht="15" customHeight="1" s="59">
      <c r="I191" s="103" t="n"/>
      <c r="J191" s="91" t="n"/>
      <c r="K191" s="97">
        <f>IF(E191="","",IF(E191&lt;F191,"⚠ STOCK BAS","OK"))</f>
        <v/>
      </c>
    </row>
    <row r="192" ht="15" customHeight="1" s="59">
      <c r="I192" s="103" t="n"/>
      <c r="J192" s="91" t="n"/>
      <c r="K192" s="97">
        <f>IF(E192="","",IF(E192&lt;F192,"⚠ STOCK BAS","OK"))</f>
        <v/>
      </c>
    </row>
    <row r="193" ht="15" customHeight="1" s="59">
      <c r="I193" s="103" t="n"/>
      <c r="J193" s="91" t="n"/>
      <c r="K193" s="97">
        <f>IF(E193="","",IF(E193&lt;F193,"⚠ STOCK BAS","OK"))</f>
        <v/>
      </c>
    </row>
    <row r="194" ht="15" customHeight="1" s="59">
      <c r="I194" s="103" t="n"/>
      <c r="J194" s="91" t="n"/>
      <c r="K194" s="97">
        <f>IF(E194="","",IF(E194&lt;F194,"⚠ STOCK BAS","OK"))</f>
        <v/>
      </c>
    </row>
    <row r="195" ht="15" customHeight="1" s="59">
      <c r="I195" s="103" t="n"/>
      <c r="J195" s="91" t="n"/>
      <c r="K195" s="97">
        <f>IF(E195="","",IF(E195&lt;F195,"⚠ STOCK BAS","OK"))</f>
        <v/>
      </c>
    </row>
    <row r="196" ht="15" customHeight="1" s="59">
      <c r="I196" s="103" t="n"/>
      <c r="J196" s="91" t="n"/>
      <c r="K196" s="97">
        <f>IF(E196="","",IF(E196&lt;F196,"⚠ STOCK BAS","OK"))</f>
        <v/>
      </c>
    </row>
    <row r="197" ht="15" customHeight="1" s="59">
      <c r="I197" s="103" t="n"/>
      <c r="J197" s="91" t="n"/>
      <c r="K197" s="97">
        <f>IF(E197="","",IF(E197&lt;F197,"⚠ STOCK BAS","OK"))</f>
        <v/>
      </c>
    </row>
    <row r="198" ht="15" customHeight="1" s="59">
      <c r="I198" s="103" t="n"/>
      <c r="J198" s="91" t="n"/>
      <c r="K198" s="97">
        <f>IF(E198="","",IF(E198&lt;F198,"⚠ STOCK BAS","OK"))</f>
        <v/>
      </c>
    </row>
    <row r="199" ht="15" customHeight="1" s="59">
      <c r="I199" s="103" t="n"/>
      <c r="J199" s="91" t="n"/>
      <c r="K199" s="97">
        <f>IF(E199="","",IF(E199&lt;F199,"⚠ STOCK BAS","OK"))</f>
        <v/>
      </c>
    </row>
    <row r="200" ht="15" customHeight="1" s="59">
      <c r="I200" s="103" t="n"/>
      <c r="J200" s="91" t="n"/>
      <c r="K200" s="97">
        <f>IF(E200="","",IF(E200&lt;F200,"⚠ STOCK BAS","OK"))</f>
        <v/>
      </c>
    </row>
    <row r="201" ht="15" customHeight="1" s="59">
      <c r="I201" s="103" t="n"/>
      <c r="J201" s="91" t="n"/>
      <c r="K201" s="97">
        <f>IF(E201="","",IF(E201&lt;F201,"⚠ STOCK BAS","OK"))</f>
        <v/>
      </c>
    </row>
    <row r="202" ht="15" customHeight="1" s="59">
      <c r="I202" s="103" t="n"/>
      <c r="J202" s="91" t="n"/>
      <c r="K202" s="97">
        <f>IF(E202="","",IF(E202&lt;F202,"⚠ STOCK BAS","OK"))</f>
        <v/>
      </c>
    </row>
    <row r="203" ht="15" customHeight="1" s="59">
      <c r="I203" s="103" t="n"/>
      <c r="J203" s="91" t="n"/>
      <c r="K203" s="97">
        <f>IF(E203="","",IF(E203&lt;F203,"⚠ STOCK BAS","OK"))</f>
        <v/>
      </c>
    </row>
    <row r="204" ht="15" customHeight="1" s="59">
      <c r="I204" s="103" t="n"/>
      <c r="J204" s="91" t="n"/>
      <c r="K204" s="97">
        <f>IF(E204="","",IF(E204&lt;F204,"⚠ STOCK BAS","OK"))</f>
        <v/>
      </c>
    </row>
    <row r="205" ht="15" customHeight="1" s="59">
      <c r="I205" s="103" t="n"/>
      <c r="J205" s="91" t="n"/>
      <c r="K205" s="97">
        <f>IF(E205="","",IF(E205&lt;F205,"⚠ STOCK BAS","OK"))</f>
        <v/>
      </c>
    </row>
    <row r="206" ht="15" customHeight="1" s="59">
      <c r="I206" s="103" t="n"/>
      <c r="J206" s="91" t="n"/>
      <c r="K206" s="97">
        <f>IF(E206="","",IF(E206&lt;F206,"⚠ STOCK BAS","OK"))</f>
        <v/>
      </c>
    </row>
    <row r="207" ht="15" customHeight="1" s="59">
      <c r="I207" s="103" t="n"/>
      <c r="J207" s="91" t="n"/>
      <c r="K207" s="97">
        <f>IF(E207="","",IF(E207&lt;F207,"⚠ STOCK BAS","OK"))</f>
        <v/>
      </c>
    </row>
    <row r="208" ht="15" customHeight="1" s="59">
      <c r="I208" s="103" t="n"/>
      <c r="J208" s="91" t="n"/>
      <c r="K208" s="97">
        <f>IF(E208="","",IF(E208&lt;F208,"⚠ STOCK BAS","OK"))</f>
        <v/>
      </c>
    </row>
    <row r="209" ht="15" customHeight="1" s="59">
      <c r="I209" s="103" t="n"/>
      <c r="J209" s="91" t="n"/>
      <c r="K209" s="97">
        <f>IF(E209="","",IF(E209&lt;F209,"⚠ STOCK BAS","OK"))</f>
        <v/>
      </c>
    </row>
    <row r="210" ht="15" customHeight="1" s="59">
      <c r="I210" s="103" t="n"/>
      <c r="J210" s="91" t="n"/>
      <c r="K210" s="97">
        <f>IF(E210="","",IF(E210&lt;F210,"⚠ STOCK BAS","OK"))</f>
        <v/>
      </c>
    </row>
    <row r="211" ht="15" customHeight="1" s="59">
      <c r="I211" s="103" t="n"/>
      <c r="J211" s="91" t="n"/>
      <c r="K211" s="97">
        <f>IF(E211="","",IF(E211&lt;F211,"⚠ STOCK BAS","OK"))</f>
        <v/>
      </c>
    </row>
    <row r="212" ht="15" customHeight="1" s="59">
      <c r="I212" s="103" t="n"/>
      <c r="J212" s="91" t="n"/>
      <c r="K212" s="97">
        <f>IF(E212="","",IF(E212&lt;F212,"⚠ STOCK BAS","OK"))</f>
        <v/>
      </c>
    </row>
    <row r="213" ht="15" customHeight="1" s="59">
      <c r="I213" s="103" t="n"/>
      <c r="J213" s="91" t="n"/>
      <c r="K213" s="97">
        <f>IF(E213="","",IF(E213&lt;F213,"⚠ STOCK BAS","OK"))</f>
        <v/>
      </c>
    </row>
    <row r="214" ht="15" customHeight="1" s="59">
      <c r="I214" s="103" t="n"/>
      <c r="J214" s="91" t="n"/>
      <c r="K214" s="97">
        <f>IF(E214="","",IF(E214&lt;F214,"⚠ STOCK BAS","OK"))</f>
        <v/>
      </c>
    </row>
    <row r="215" ht="15" customHeight="1" s="59">
      <c r="I215" s="103" t="n"/>
      <c r="J215" s="91" t="n"/>
      <c r="K215" s="97">
        <f>IF(E215="","",IF(E215&lt;F215,"⚠ STOCK BAS","OK"))</f>
        <v/>
      </c>
    </row>
    <row r="216" ht="15" customHeight="1" s="59">
      <c r="I216" s="103" t="n"/>
      <c r="J216" s="91" t="n"/>
      <c r="K216" s="97">
        <f>IF(E216="","",IF(E216&lt;F216,"⚠ STOCK BAS","OK"))</f>
        <v/>
      </c>
    </row>
    <row r="217" ht="15" customHeight="1" s="59">
      <c r="I217" s="103" t="n"/>
      <c r="J217" s="91" t="n"/>
      <c r="K217" s="97">
        <f>IF(E217="","",IF(E217&lt;F217,"⚠ STOCK BAS","OK"))</f>
        <v/>
      </c>
    </row>
    <row r="218" ht="15" customHeight="1" s="59">
      <c r="I218" s="103" t="n"/>
      <c r="J218" s="91" t="n"/>
      <c r="K218" s="97">
        <f>IF(E218="","",IF(E218&lt;F218,"⚠ STOCK BAS","OK"))</f>
        <v/>
      </c>
    </row>
    <row r="219" ht="15" customHeight="1" s="59">
      <c r="I219" s="103" t="n"/>
      <c r="J219" s="91" t="n"/>
      <c r="K219" s="97">
        <f>IF(E219="","",IF(E219&lt;F219,"⚠ STOCK BAS","OK"))</f>
        <v/>
      </c>
    </row>
    <row r="220" ht="15" customHeight="1" s="59">
      <c r="I220" s="103" t="n"/>
      <c r="J220" s="91" t="n"/>
      <c r="K220" s="97">
        <f>IF(E220="","",IF(E220&lt;F220,"⚠ STOCK BAS","OK"))</f>
        <v/>
      </c>
    </row>
    <row r="221" ht="15" customHeight="1" s="59">
      <c r="I221" s="103" t="n"/>
      <c r="J221" s="91" t="n"/>
      <c r="K221" s="97">
        <f>IF(E221="","",IF(E221&lt;F221,"⚠ STOCK BAS","OK"))</f>
        <v/>
      </c>
    </row>
    <row r="222" ht="15" customHeight="1" s="59">
      <c r="I222" s="103" t="n"/>
      <c r="J222" s="91" t="n"/>
      <c r="K222" s="97">
        <f>IF(E222="","",IF(E222&lt;F222,"⚠ STOCK BAS","OK"))</f>
        <v/>
      </c>
    </row>
    <row r="223" ht="15" customHeight="1" s="59">
      <c r="I223" s="103" t="n"/>
      <c r="J223" s="91" t="n"/>
      <c r="K223" s="97">
        <f>IF(E223="","",IF(E223&lt;F223,"⚠ STOCK BAS","OK"))</f>
        <v/>
      </c>
    </row>
    <row r="224" ht="15" customHeight="1" s="59">
      <c r="I224" s="103" t="n"/>
      <c r="J224" s="91" t="n"/>
      <c r="K224" s="97">
        <f>IF(E224="","",IF(E224&lt;F224,"⚠ STOCK BAS","OK"))</f>
        <v/>
      </c>
    </row>
    <row r="225" ht="15" customHeight="1" s="59">
      <c r="I225" s="103" t="n"/>
      <c r="J225" s="91" t="n"/>
      <c r="K225" s="97">
        <f>IF(E225="","",IF(E225&lt;F225,"⚠ STOCK BAS","OK"))</f>
        <v/>
      </c>
    </row>
    <row r="226" ht="15" customHeight="1" s="59">
      <c r="I226" s="103" t="n"/>
      <c r="J226" s="91" t="n"/>
      <c r="K226" s="97">
        <f>IF(E226="","",IF(E226&lt;F226,"⚠ STOCK BAS","OK"))</f>
        <v/>
      </c>
    </row>
    <row r="227" ht="15" customHeight="1" s="59">
      <c r="I227" s="103" t="n"/>
      <c r="J227" s="91" t="n"/>
      <c r="K227" s="97">
        <f>IF(E227="","",IF(E227&lt;F227,"⚠ STOCK BAS","OK"))</f>
        <v/>
      </c>
    </row>
    <row r="228" ht="15" customHeight="1" s="59">
      <c r="I228" s="103" t="n"/>
      <c r="J228" s="91" t="n"/>
      <c r="K228" s="97">
        <f>IF(E228="","",IF(E228&lt;F228,"⚠ STOCK BAS","OK"))</f>
        <v/>
      </c>
    </row>
    <row r="229" ht="15" customHeight="1" s="59">
      <c r="I229" s="103" t="n"/>
      <c r="J229" s="91" t="n"/>
      <c r="K229" s="97">
        <f>IF(E229="","",IF(E229&lt;F229,"⚠ STOCK BAS","OK"))</f>
        <v/>
      </c>
    </row>
    <row r="230" ht="15" customHeight="1" s="59">
      <c r="I230" s="103" t="n"/>
      <c r="J230" s="91" t="n"/>
      <c r="K230" s="97">
        <f>IF(E230="","",IF(E230&lt;F230,"⚠ STOCK BAS","OK"))</f>
        <v/>
      </c>
    </row>
    <row r="231" ht="15" customHeight="1" s="59">
      <c r="I231" s="103" t="n"/>
      <c r="J231" s="91" t="n"/>
      <c r="K231" s="97">
        <f>IF(E231="","",IF(E231&lt;F231,"⚠ STOCK BAS","OK"))</f>
        <v/>
      </c>
    </row>
    <row r="232" ht="15" customHeight="1" s="59">
      <c r="I232" s="103" t="n"/>
      <c r="J232" s="91" t="n"/>
      <c r="K232" s="97">
        <f>IF(E232="","",IF(E232&lt;F232,"⚠ STOCK BAS","OK"))</f>
        <v/>
      </c>
    </row>
    <row r="233" ht="15" customHeight="1" s="59">
      <c r="I233" s="103" t="n"/>
      <c r="J233" s="91" t="n"/>
      <c r="K233" s="97">
        <f>IF(E233="","",IF(E233&lt;F233,"⚠ STOCK BAS","OK"))</f>
        <v/>
      </c>
    </row>
    <row r="234" ht="15" customHeight="1" s="59">
      <c r="I234" s="103" t="n"/>
      <c r="J234" s="91" t="n"/>
      <c r="K234" s="97">
        <f>IF(E234="","",IF(E234&lt;F234,"⚠ STOCK BAS","OK"))</f>
        <v/>
      </c>
    </row>
    <row r="235" ht="15" customHeight="1" s="59">
      <c r="I235" s="103" t="n"/>
      <c r="J235" s="91" t="n"/>
      <c r="K235" s="97">
        <f>IF(E235="","",IF(E235&lt;F235,"⚠ STOCK BAS","OK"))</f>
        <v/>
      </c>
    </row>
    <row r="236" ht="15" customHeight="1" s="59">
      <c r="I236" s="103" t="n"/>
      <c r="J236" s="91" t="n"/>
      <c r="K236" s="97">
        <f>IF(E236="","",IF(E236&lt;F236,"⚠ STOCK BAS","OK"))</f>
        <v/>
      </c>
    </row>
    <row r="237" ht="15" customHeight="1" s="59">
      <c r="I237" s="103" t="n"/>
      <c r="J237" s="91" t="n"/>
      <c r="K237" s="97">
        <f>IF(E237="","",IF(E237&lt;F237,"⚠ STOCK BAS","OK"))</f>
        <v/>
      </c>
    </row>
    <row r="238" ht="15" customHeight="1" s="59">
      <c r="I238" s="103" t="n"/>
      <c r="J238" s="91" t="n"/>
      <c r="K238" s="97">
        <f>IF(E238="","",IF(E238&lt;F238,"⚠ STOCK BAS","OK"))</f>
        <v/>
      </c>
    </row>
    <row r="239" ht="15" customHeight="1" s="59">
      <c r="I239" s="103" t="n"/>
      <c r="J239" s="91" t="n"/>
      <c r="K239" s="97">
        <f>IF(E239="","",IF(E239&lt;F239,"⚠ STOCK BAS","OK"))</f>
        <v/>
      </c>
    </row>
    <row r="240" ht="15" customHeight="1" s="59">
      <c r="I240" s="103" t="n"/>
      <c r="J240" s="91" t="n"/>
      <c r="K240" s="97">
        <f>IF(E240="","",IF(E240&lt;F240,"⚠ STOCK BAS","OK"))</f>
        <v/>
      </c>
    </row>
    <row r="241" ht="15" customHeight="1" s="59">
      <c r="I241" s="103" t="n"/>
      <c r="J241" s="91" t="n"/>
      <c r="K241" s="97">
        <f>IF(E241="","",IF(E241&lt;F241,"⚠ STOCK BAS","OK"))</f>
        <v/>
      </c>
    </row>
    <row r="242" ht="15" customHeight="1" s="59">
      <c r="I242" s="103" t="n"/>
      <c r="J242" s="91" t="n"/>
      <c r="K242" s="97">
        <f>IF(E242="","",IF(E242&lt;F242,"⚠ STOCK BAS","OK"))</f>
        <v/>
      </c>
    </row>
    <row r="243" ht="15" customHeight="1" s="59">
      <c r="I243" s="103" t="n"/>
      <c r="J243" s="91" t="n"/>
      <c r="K243" s="97">
        <f>IF(E243="","",IF(E243&lt;F243,"⚠ STOCK BAS","OK"))</f>
        <v/>
      </c>
    </row>
    <row r="244" ht="15" customHeight="1" s="59">
      <c r="I244" s="103" t="n"/>
      <c r="J244" s="91" t="n"/>
      <c r="K244" s="97">
        <f>IF(E244="","",IF(E244&lt;F244,"⚠ STOCK BAS","OK"))</f>
        <v/>
      </c>
    </row>
    <row r="245" ht="15" customHeight="1" s="59">
      <c r="I245" s="103" t="n"/>
      <c r="J245" s="91" t="n"/>
      <c r="K245" s="97">
        <f>IF(E245="","",IF(E245&lt;F245,"⚠ STOCK BAS","OK"))</f>
        <v/>
      </c>
    </row>
    <row r="246" ht="15" customHeight="1" s="59">
      <c r="I246" s="103" t="n"/>
      <c r="J246" s="91" t="n"/>
      <c r="K246" s="97">
        <f>IF(E246="","",IF(E246&lt;F246,"⚠ STOCK BAS","OK"))</f>
        <v/>
      </c>
    </row>
    <row r="247" ht="15" customHeight="1" s="59">
      <c r="I247" s="103" t="n"/>
      <c r="J247" s="91" t="n"/>
      <c r="K247" s="97">
        <f>IF(E247="","",IF(E247&lt;F247,"⚠ STOCK BAS","OK"))</f>
        <v/>
      </c>
    </row>
    <row r="248" ht="15" customHeight="1" s="59">
      <c r="I248" s="103" t="n"/>
      <c r="J248" s="91" t="n"/>
      <c r="K248" s="97">
        <f>IF(E248="","",IF(E248&lt;F248,"⚠ STOCK BAS","OK"))</f>
        <v/>
      </c>
    </row>
    <row r="249" ht="15" customHeight="1" s="59">
      <c r="I249" s="103" t="n"/>
      <c r="J249" s="91" t="n"/>
      <c r="K249" s="97">
        <f>IF(E249="","",IF(E249&lt;F249,"⚠ STOCK BAS","OK"))</f>
        <v/>
      </c>
    </row>
    <row r="250" ht="15" customHeight="1" s="59">
      <c r="I250" s="103" t="n"/>
      <c r="J250" s="91" t="n"/>
      <c r="K250" s="97">
        <f>IF(E250="","",IF(E250&lt;F250,"⚠ STOCK BAS","OK"))</f>
        <v/>
      </c>
    </row>
    <row r="251" ht="15" customHeight="1" s="59">
      <c r="I251" s="103" t="n"/>
      <c r="J251" s="91" t="n"/>
      <c r="K251" s="97">
        <f>IF(E251="","",IF(E251&lt;F251,"⚠ STOCK BAS","OK"))</f>
        <v/>
      </c>
    </row>
    <row r="252" ht="15" customHeight="1" s="59">
      <c r="I252" s="103" t="n"/>
      <c r="J252" s="91" t="n"/>
      <c r="K252" s="97">
        <f>IF(E252="","",IF(E252&lt;F252,"⚠ STOCK BAS","OK"))</f>
        <v/>
      </c>
    </row>
    <row r="253" ht="15" customHeight="1" s="59">
      <c r="I253" s="103" t="n"/>
      <c r="J253" s="91" t="n"/>
      <c r="K253" s="97">
        <f>IF(E253="","",IF(E253&lt;F253,"⚠ STOCK BAS","OK"))</f>
        <v/>
      </c>
    </row>
    <row r="254" ht="15" customHeight="1" s="59">
      <c r="I254" s="103" t="n"/>
      <c r="J254" s="91" t="n"/>
      <c r="K254" s="97">
        <f>IF(E254="","",IF(E254&lt;F254,"⚠ STOCK BAS","OK"))</f>
        <v/>
      </c>
    </row>
    <row r="255" ht="15" customHeight="1" s="59">
      <c r="I255" s="103" t="n"/>
      <c r="J255" s="91" t="n"/>
      <c r="K255" s="97">
        <f>IF(E255="","",IF(E255&lt;F255,"⚠ STOCK BAS","OK"))</f>
        <v/>
      </c>
    </row>
    <row r="256" ht="15" customHeight="1" s="59">
      <c r="I256" s="103" t="n"/>
      <c r="J256" s="91" t="n"/>
      <c r="K256" s="97">
        <f>IF(E256="","",IF(E256&lt;F256,"⚠ STOCK BAS","OK"))</f>
        <v/>
      </c>
    </row>
    <row r="257" ht="15" customHeight="1" s="59">
      <c r="I257" s="103" t="n"/>
      <c r="J257" s="91" t="n"/>
      <c r="K257" s="97">
        <f>IF(E257="","",IF(E257&lt;F257,"⚠ STOCK BAS","OK"))</f>
        <v/>
      </c>
    </row>
    <row r="258" ht="15" customHeight="1" s="59">
      <c r="I258" s="103" t="n"/>
      <c r="J258" s="91" t="n"/>
      <c r="K258" s="97">
        <f>IF(E258="","",IF(E258&lt;F258,"⚠ STOCK BAS","OK"))</f>
        <v/>
      </c>
    </row>
    <row r="259" ht="15" customHeight="1" s="59">
      <c r="I259" s="103" t="n"/>
      <c r="J259" s="91" t="n"/>
      <c r="K259" s="97">
        <f>IF(E259="","",IF(E259&lt;F259,"⚠ STOCK BAS","OK"))</f>
        <v/>
      </c>
    </row>
    <row r="260" ht="15" customHeight="1" s="59">
      <c r="I260" s="103" t="n"/>
      <c r="J260" s="91" t="n"/>
      <c r="K260" s="97">
        <f>IF(E260="","",IF(E260&lt;F260,"⚠ STOCK BAS","OK"))</f>
        <v/>
      </c>
    </row>
    <row r="261" ht="15" customHeight="1" s="59">
      <c r="I261" s="103" t="n"/>
      <c r="J261" s="91" t="n"/>
      <c r="K261" s="97">
        <f>IF(E261="","",IF(E261&lt;F261,"⚠ STOCK BAS","OK"))</f>
        <v/>
      </c>
    </row>
    <row r="262" ht="15" customHeight="1" s="59">
      <c r="I262" s="103" t="n"/>
      <c r="J262" s="91" t="n"/>
      <c r="K262" s="97">
        <f>IF(E262="","",IF(E262&lt;F262,"⚠ STOCK BAS","OK"))</f>
        <v/>
      </c>
    </row>
    <row r="263" ht="15" customHeight="1" s="59">
      <c r="I263" s="103" t="n"/>
      <c r="J263" s="91" t="n"/>
      <c r="K263" s="97">
        <f>IF(E263="","",IF(E263&lt;F263,"⚠ STOCK BAS","OK"))</f>
        <v/>
      </c>
    </row>
    <row r="264" ht="15" customHeight="1" s="59">
      <c r="I264" s="103" t="n"/>
      <c r="J264" s="91" t="n"/>
      <c r="K264" s="97">
        <f>IF(E264="","",IF(E264&lt;F264,"⚠ STOCK BAS","OK"))</f>
        <v/>
      </c>
    </row>
    <row r="265" ht="15" customHeight="1" s="59">
      <c r="I265" s="103" t="n"/>
      <c r="J265" s="91" t="n"/>
      <c r="K265" s="97">
        <f>IF(E265="","",IF(E265&lt;F265,"⚠ STOCK BAS","OK"))</f>
        <v/>
      </c>
    </row>
    <row r="266" ht="15" customHeight="1" s="59">
      <c r="I266" s="103" t="n"/>
      <c r="J266" s="91" t="n"/>
      <c r="K266" s="97">
        <f>IF(E266="","",IF(E266&lt;F266,"⚠ STOCK BAS","OK"))</f>
        <v/>
      </c>
    </row>
    <row r="267" ht="15" customHeight="1" s="59">
      <c r="I267" s="103" t="n"/>
      <c r="J267" s="91" t="n"/>
      <c r="K267" s="97">
        <f>IF(E267="","",IF(E267&lt;F267,"⚠ STOCK BAS","OK"))</f>
        <v/>
      </c>
    </row>
    <row r="268" ht="15" customHeight="1" s="59">
      <c r="I268" s="103" t="n"/>
      <c r="J268" s="91" t="n"/>
      <c r="K268" s="97">
        <f>IF(E268="","",IF(E268&lt;F268,"⚠ STOCK BAS","OK"))</f>
        <v/>
      </c>
    </row>
    <row r="269" ht="15" customHeight="1" s="59">
      <c r="I269" s="103" t="n"/>
      <c r="J269" s="91" t="n"/>
      <c r="K269" s="97">
        <f>IF(E269="","",IF(E269&lt;F269,"⚠ STOCK BAS","OK"))</f>
        <v/>
      </c>
    </row>
    <row r="270" ht="15" customHeight="1" s="59">
      <c r="I270" s="103" t="n"/>
      <c r="J270" s="91" t="n"/>
      <c r="K270" s="97">
        <f>IF(E270="","",IF(E270&lt;F270,"⚠ STOCK BAS","OK"))</f>
        <v/>
      </c>
    </row>
    <row r="271" ht="15" customHeight="1" s="59">
      <c r="I271" s="103" t="n"/>
      <c r="J271" s="91" t="n"/>
      <c r="K271" s="97">
        <f>IF(E271="","",IF(E271&lt;F271,"⚠ STOCK BAS","OK"))</f>
        <v/>
      </c>
    </row>
    <row r="272" ht="15" customHeight="1" s="59">
      <c r="I272" s="103" t="n"/>
      <c r="J272" s="91" t="n"/>
      <c r="K272" s="97">
        <f>IF(E272="","",IF(E272&lt;F272,"⚠ STOCK BAS","OK"))</f>
        <v/>
      </c>
    </row>
    <row r="273" ht="15" customHeight="1" s="59">
      <c r="I273" s="103" t="n"/>
      <c r="J273" s="91" t="n"/>
      <c r="K273" s="97">
        <f>IF(E273="","",IF(E273&lt;F273,"⚠ STOCK BAS","OK"))</f>
        <v/>
      </c>
    </row>
    <row r="274" ht="15" customHeight="1" s="59">
      <c r="I274" s="103" t="n"/>
      <c r="J274" s="91" t="n"/>
      <c r="K274" s="97">
        <f>IF(E274="","",IF(E274&lt;F274,"⚠ STOCK BAS","OK"))</f>
        <v/>
      </c>
    </row>
    <row r="275" ht="15" customHeight="1" s="59">
      <c r="I275" s="103" t="n"/>
      <c r="J275" s="91" t="n"/>
      <c r="K275" s="97">
        <f>IF(E275="","",IF(E275&lt;F275,"⚠ STOCK BAS","OK"))</f>
        <v/>
      </c>
    </row>
    <row r="276" ht="15" customHeight="1" s="59">
      <c r="I276" s="103" t="n"/>
      <c r="J276" s="91" t="n"/>
      <c r="K276" s="97">
        <f>IF(E276="","",IF(E276&lt;F276,"⚠ STOCK BAS","OK"))</f>
        <v/>
      </c>
    </row>
    <row r="277" ht="15" customHeight="1" s="59">
      <c r="I277" s="103" t="n"/>
      <c r="J277" s="91" t="n"/>
      <c r="K277" s="97">
        <f>IF(E277="","",IF(E277&lt;F277,"⚠ STOCK BAS","OK"))</f>
        <v/>
      </c>
    </row>
    <row r="278" ht="15" customHeight="1" s="59">
      <c r="I278" s="103" t="n"/>
      <c r="J278" s="91" t="n"/>
      <c r="K278" s="97">
        <f>IF(E278="","",IF(E278&lt;F278,"⚠ STOCK BAS","OK"))</f>
        <v/>
      </c>
    </row>
    <row r="279" ht="15" customHeight="1" s="59">
      <c r="I279" s="103" t="n"/>
      <c r="J279" s="91" t="n"/>
      <c r="K279" s="97">
        <f>IF(E279="","",IF(E279&lt;F279,"⚠ STOCK BAS","OK"))</f>
        <v/>
      </c>
    </row>
    <row r="280" ht="15" customHeight="1" s="59">
      <c r="I280" s="103" t="n"/>
      <c r="J280" s="91" t="n"/>
      <c r="K280" s="97">
        <f>IF(E280="","",IF(E280&lt;F280,"⚠ STOCK BAS","OK"))</f>
        <v/>
      </c>
    </row>
    <row r="281" ht="15" customHeight="1" s="59">
      <c r="I281" s="103" t="n"/>
      <c r="J281" s="91" t="n"/>
      <c r="K281" s="97">
        <f>IF(E281="","",IF(E281&lt;F281,"⚠ STOCK BAS","OK"))</f>
        <v/>
      </c>
    </row>
    <row r="282" ht="15" customHeight="1" s="59">
      <c r="I282" s="103" t="n"/>
      <c r="J282" s="91" t="n"/>
      <c r="K282" s="97">
        <f>IF(E282="","",IF(E282&lt;F282,"⚠ STOCK BAS","OK"))</f>
        <v/>
      </c>
    </row>
    <row r="283" ht="15" customHeight="1" s="59">
      <c r="I283" s="103" t="n"/>
      <c r="J283" s="91" t="n"/>
      <c r="K283" s="97">
        <f>IF(E283="","",IF(E283&lt;F283,"⚠ STOCK BAS","OK"))</f>
        <v/>
      </c>
    </row>
    <row r="284" ht="15" customHeight="1" s="59">
      <c r="I284" s="103" t="n"/>
      <c r="J284" s="91" t="n"/>
      <c r="K284" s="97">
        <f>IF(E284="","",IF(E284&lt;F284,"⚠ STOCK BAS","OK"))</f>
        <v/>
      </c>
    </row>
    <row r="285" ht="15" customHeight="1" s="59">
      <c r="I285" s="103" t="n"/>
      <c r="J285" s="91" t="n"/>
      <c r="K285" s="97">
        <f>IF(E285="","",IF(E285&lt;F285,"⚠ STOCK BAS","OK"))</f>
        <v/>
      </c>
    </row>
    <row r="286" ht="15" customHeight="1" s="59">
      <c r="I286" s="103" t="n"/>
      <c r="J286" s="91" t="n"/>
      <c r="K286" s="97">
        <f>IF(E286="","",IF(E286&lt;F286,"⚠ STOCK BAS","OK"))</f>
        <v/>
      </c>
    </row>
    <row r="287" ht="15" customHeight="1" s="59">
      <c r="I287" s="103" t="n"/>
      <c r="J287" s="91" t="n"/>
      <c r="K287" s="97">
        <f>IF(E287="","",IF(E287&lt;F287,"⚠ STOCK BAS","OK"))</f>
        <v/>
      </c>
    </row>
    <row r="288" ht="15" customHeight="1" s="59">
      <c r="I288" s="103" t="n"/>
      <c r="J288" s="91" t="n"/>
      <c r="K288" s="97">
        <f>IF(E288="","",IF(E288&lt;F288,"⚠ STOCK BAS","OK"))</f>
        <v/>
      </c>
    </row>
    <row r="289" ht="15" customHeight="1" s="59">
      <c r="I289" s="103" t="n"/>
      <c r="J289" s="91" t="n"/>
      <c r="K289" s="97">
        <f>IF(E289="","",IF(E289&lt;F289,"⚠ STOCK BAS","OK"))</f>
        <v/>
      </c>
    </row>
    <row r="290" ht="15" customHeight="1" s="59">
      <c r="I290" s="103" t="n"/>
      <c r="J290" s="91" t="n"/>
      <c r="K290" s="97">
        <f>IF(E290="","",IF(E290&lt;F290,"⚠ STOCK BAS","OK"))</f>
        <v/>
      </c>
    </row>
    <row r="291" ht="15" customHeight="1" s="59">
      <c r="I291" s="103" t="n"/>
      <c r="J291" s="91" t="n"/>
      <c r="K291" s="97">
        <f>IF(E291="","",IF(E291&lt;F291,"⚠ STOCK BAS","OK"))</f>
        <v/>
      </c>
    </row>
    <row r="292" ht="15" customHeight="1" s="59">
      <c r="I292" s="103" t="n"/>
      <c r="J292" s="91" t="n"/>
      <c r="K292" s="97">
        <f>IF(E292="","",IF(E292&lt;F292,"⚠ STOCK BAS","OK"))</f>
        <v/>
      </c>
    </row>
    <row r="293" ht="15" customHeight="1" s="59">
      <c r="I293" s="103" t="n"/>
      <c r="J293" s="91" t="n"/>
      <c r="K293" s="97">
        <f>IF(E293="","",IF(E293&lt;F293,"⚠ STOCK BAS","OK"))</f>
        <v/>
      </c>
    </row>
    <row r="294" ht="15" customHeight="1" s="59">
      <c r="I294" s="103" t="n"/>
      <c r="J294" s="91" t="n"/>
      <c r="K294" s="97">
        <f>IF(E294="","",IF(E294&lt;F294,"⚠ STOCK BAS","OK"))</f>
        <v/>
      </c>
    </row>
    <row r="295" ht="15" customHeight="1" s="59">
      <c r="I295" s="103" t="n"/>
      <c r="J295" s="91" t="n"/>
      <c r="K295" s="97">
        <f>IF(E295="","",IF(E295&lt;F295,"⚠ STOCK BAS","OK"))</f>
        <v/>
      </c>
    </row>
    <row r="296" ht="15" customHeight="1" s="59">
      <c r="I296" s="103" t="n"/>
      <c r="J296" s="91" t="n"/>
      <c r="K296" s="97">
        <f>IF(E296="","",IF(E296&lt;F296,"⚠ STOCK BAS","OK"))</f>
        <v/>
      </c>
    </row>
    <row r="297" ht="15" customHeight="1" s="59">
      <c r="I297" s="103" t="n"/>
      <c r="J297" s="91" t="n"/>
      <c r="K297" s="97">
        <f>IF(E297="","",IF(E297&lt;F297,"⚠ STOCK BAS","OK"))</f>
        <v/>
      </c>
    </row>
    <row r="298" ht="15" customHeight="1" s="59">
      <c r="I298" s="103" t="n"/>
      <c r="J298" s="91" t="n"/>
      <c r="K298" s="97">
        <f>IF(E298="","",IF(E298&lt;F298,"⚠ STOCK BAS","OK"))</f>
        <v/>
      </c>
    </row>
    <row r="299" ht="15" customHeight="1" s="59">
      <c r="I299" s="103" t="n"/>
      <c r="J299" s="91" t="n"/>
      <c r="K299" s="97">
        <f>IF(E299="","",IF(E299&lt;F299,"⚠ STOCK BAS","OK"))</f>
        <v/>
      </c>
    </row>
    <row r="300" ht="15" customHeight="1" s="59">
      <c r="I300" s="103" t="n"/>
      <c r="J300" s="91" t="n"/>
      <c r="K300" s="97">
        <f>IF(E300="","",IF(E300&lt;F300,"⚠ STOCK BAS","OK"))</f>
        <v/>
      </c>
    </row>
    <row r="301" ht="15" customHeight="1" s="59">
      <c r="I301" s="103" t="n"/>
      <c r="J301" s="91" t="n"/>
      <c r="K301" s="97">
        <f>IF(E301="","",IF(E301&lt;F301,"⚠ STOCK BAS","OK"))</f>
        <v/>
      </c>
    </row>
    <row r="302" ht="15" customHeight="1" s="59">
      <c r="I302" s="103" t="n"/>
      <c r="J302" s="91" t="n"/>
      <c r="K302" s="97">
        <f>IF(E302="","",IF(E302&lt;F302,"⚠ STOCK BAS","OK"))</f>
        <v/>
      </c>
    </row>
    <row r="303" ht="15" customHeight="1" s="59">
      <c r="I303" s="103" t="n"/>
      <c r="J303" s="91" t="n"/>
      <c r="K303" s="97">
        <f>IF(E303="","",IF(E303&lt;F303,"⚠ STOCK BAS","OK"))</f>
        <v/>
      </c>
    </row>
    <row r="304" ht="15" customHeight="1" s="59">
      <c r="I304" s="103" t="n"/>
      <c r="J304" s="91" t="n"/>
      <c r="K304" s="97">
        <f>IF(E304="","",IF(E304&lt;F304,"⚠ STOCK BAS","OK"))</f>
        <v/>
      </c>
    </row>
    <row r="305" ht="15" customHeight="1" s="59">
      <c r="I305" s="103" t="n"/>
      <c r="J305" s="91" t="n"/>
      <c r="K305" s="97">
        <f>IF(E305="","",IF(E305&lt;F305,"⚠ STOCK BAS","OK"))</f>
        <v/>
      </c>
    </row>
    <row r="306" ht="15" customHeight="1" s="59">
      <c r="I306" s="103" t="n"/>
      <c r="J306" s="91" t="n"/>
      <c r="K306" s="97">
        <f>IF(E306="","",IF(E306&lt;F306,"⚠ STOCK BAS","OK"))</f>
        <v/>
      </c>
    </row>
    <row r="307" ht="15" customHeight="1" s="59">
      <c r="I307" s="103" t="n"/>
      <c r="J307" s="91" t="n"/>
      <c r="K307" s="97">
        <f>IF(E307="","",IF(E307&lt;F307,"⚠ STOCK BAS","OK"))</f>
        <v/>
      </c>
    </row>
    <row r="308" ht="15" customHeight="1" s="59">
      <c r="I308" s="103" t="n"/>
      <c r="J308" s="91" t="n"/>
      <c r="K308" s="97">
        <f>IF(E308="","",IF(E308&lt;F308,"⚠ STOCK BAS","OK"))</f>
        <v/>
      </c>
    </row>
    <row r="309" ht="15" customHeight="1" s="59">
      <c r="I309" s="103" t="n"/>
      <c r="J309" s="91" t="n"/>
      <c r="K309" s="97">
        <f>IF(E309="","",IF(E309&lt;F309,"⚠ STOCK BAS","OK"))</f>
        <v/>
      </c>
    </row>
    <row r="310" ht="15" customHeight="1" s="59">
      <c r="I310" s="103" t="n"/>
      <c r="J310" s="91" t="n"/>
      <c r="K310" s="97">
        <f>IF(E310="","",IF(E310&lt;F310,"⚠ STOCK BAS","OK"))</f>
        <v/>
      </c>
    </row>
    <row r="311" ht="15" customHeight="1" s="59">
      <c r="I311" s="103" t="n"/>
      <c r="J311" s="91" t="n"/>
      <c r="K311" s="97">
        <f>IF(E311="","",IF(E311&lt;F311,"⚠ STOCK BAS","OK"))</f>
        <v/>
      </c>
    </row>
    <row r="312" ht="15" customHeight="1" s="59">
      <c r="I312" s="103" t="n"/>
      <c r="J312" s="91" t="n"/>
      <c r="K312" s="97">
        <f>IF(E312="","",IF(E312&lt;F312,"⚠ STOCK BAS","OK"))</f>
        <v/>
      </c>
    </row>
    <row r="313" ht="15" customHeight="1" s="59">
      <c r="I313" s="103" t="n"/>
      <c r="J313" s="91" t="n"/>
      <c r="K313" s="97">
        <f>IF(E313="","",IF(E313&lt;F313,"⚠ STOCK BAS","OK"))</f>
        <v/>
      </c>
    </row>
    <row r="314" ht="15" customHeight="1" s="59">
      <c r="I314" s="103" t="n"/>
      <c r="J314" s="91" t="n"/>
      <c r="K314" s="97">
        <f>IF(E314="","",IF(E314&lt;F314,"⚠ STOCK BAS","OK"))</f>
        <v/>
      </c>
    </row>
    <row r="315" ht="15" customHeight="1" s="59">
      <c r="I315" s="103" t="n"/>
      <c r="J315" s="91" t="n"/>
      <c r="K315" s="97">
        <f>IF(E315="","",IF(E315&lt;F315,"⚠ STOCK BAS","OK"))</f>
        <v/>
      </c>
    </row>
    <row r="316" ht="15" customHeight="1" s="59">
      <c r="I316" s="103" t="n"/>
      <c r="J316" s="91" t="n"/>
      <c r="K316" s="97">
        <f>IF(E316="","",IF(E316&lt;F316,"⚠ STOCK BAS","OK"))</f>
        <v/>
      </c>
    </row>
    <row r="317" ht="15" customHeight="1" s="59">
      <c r="I317" s="103" t="n"/>
      <c r="J317" s="91" t="n"/>
      <c r="K317" s="97">
        <f>IF(E317="","",IF(E317&lt;F317,"⚠ STOCK BAS","OK"))</f>
        <v/>
      </c>
    </row>
    <row r="318" ht="15" customHeight="1" s="59">
      <c r="I318" s="103" t="n"/>
      <c r="J318" s="91" t="n"/>
      <c r="K318" s="97">
        <f>IF(E318="","",IF(E318&lt;F318,"⚠ STOCK BAS","OK"))</f>
        <v/>
      </c>
    </row>
    <row r="319" ht="15" customHeight="1" s="59">
      <c r="I319" s="103" t="n"/>
      <c r="J319" s="91" t="n"/>
      <c r="K319" s="97">
        <f>IF(E319="","",IF(E319&lt;F319,"⚠ STOCK BAS","OK"))</f>
        <v/>
      </c>
    </row>
    <row r="320" ht="15" customHeight="1" s="59">
      <c r="I320" s="103" t="n"/>
      <c r="J320" s="91" t="n"/>
      <c r="K320" s="97">
        <f>IF(E320="","",IF(E320&lt;F320,"⚠ STOCK BAS","OK"))</f>
        <v/>
      </c>
    </row>
    <row r="321" ht="15" customHeight="1" s="59">
      <c r="I321" s="103" t="n"/>
      <c r="J321" s="91" t="n"/>
      <c r="K321" s="97">
        <f>IF(E321="","",IF(E321&lt;F321,"⚠ STOCK BAS","OK"))</f>
        <v/>
      </c>
    </row>
    <row r="322" ht="15" customHeight="1" s="59">
      <c r="I322" s="103" t="n"/>
      <c r="J322" s="91" t="n"/>
      <c r="K322" s="97">
        <f>IF(E322="","",IF(E322&lt;F322,"⚠ STOCK BAS","OK"))</f>
        <v/>
      </c>
    </row>
    <row r="323" ht="15" customHeight="1" s="59">
      <c r="I323" s="103" t="n"/>
      <c r="J323" s="91" t="n"/>
      <c r="K323" s="97">
        <f>IF(E323="","",IF(E323&lt;F323,"⚠ STOCK BAS","OK"))</f>
        <v/>
      </c>
    </row>
    <row r="324" ht="15" customHeight="1" s="59">
      <c r="I324" s="103" t="n"/>
      <c r="J324" s="91" t="n"/>
      <c r="K324" s="97">
        <f>IF(E324="","",IF(E324&lt;F324,"⚠ STOCK BAS","OK"))</f>
        <v/>
      </c>
    </row>
    <row r="325" ht="15" customHeight="1" s="59">
      <c r="I325" s="103" t="n"/>
      <c r="J325" s="91" t="n"/>
      <c r="K325" s="97">
        <f>IF(E325="","",IF(E325&lt;F325,"⚠ STOCK BAS","OK"))</f>
        <v/>
      </c>
    </row>
    <row r="326" ht="15" customHeight="1" s="59">
      <c r="I326" s="103" t="n"/>
      <c r="J326" s="91" t="n"/>
      <c r="K326" s="97">
        <f>IF(E326="","",IF(E326&lt;F326,"⚠ STOCK BAS","OK"))</f>
        <v/>
      </c>
    </row>
    <row r="327" ht="15" customHeight="1" s="59">
      <c r="I327" s="103" t="n"/>
      <c r="J327" s="91" t="n"/>
      <c r="K327" s="97">
        <f>IF(E327="","",IF(E327&lt;F327,"⚠ STOCK BAS","OK"))</f>
        <v/>
      </c>
    </row>
    <row r="328" ht="15" customHeight="1" s="59">
      <c r="I328" s="103" t="n"/>
      <c r="J328" s="91" t="n"/>
      <c r="K328" s="97">
        <f>IF(E328="","",IF(E328&lt;F328,"⚠ STOCK BAS","OK"))</f>
        <v/>
      </c>
    </row>
    <row r="329" ht="15" customHeight="1" s="59">
      <c r="I329" s="103" t="n"/>
      <c r="J329" s="91" t="n"/>
      <c r="K329" s="97">
        <f>IF(E329="","",IF(E329&lt;F329,"⚠ STOCK BAS","OK"))</f>
        <v/>
      </c>
    </row>
    <row r="330" ht="15" customHeight="1" s="59">
      <c r="I330" s="103" t="n"/>
      <c r="J330" s="91" t="n"/>
      <c r="K330" s="97">
        <f>IF(E330="","",IF(E330&lt;F330,"⚠ STOCK BAS","OK"))</f>
        <v/>
      </c>
    </row>
    <row r="331" ht="15" customHeight="1" s="59">
      <c r="I331" s="103" t="n"/>
      <c r="J331" s="91" t="n"/>
      <c r="K331" s="97">
        <f>IF(E331="","",IF(E331&lt;F331,"⚠ STOCK BAS","OK"))</f>
        <v/>
      </c>
    </row>
    <row r="332" ht="15" customHeight="1" s="59">
      <c r="I332" s="103" t="n"/>
      <c r="J332" s="91" t="n"/>
      <c r="K332" s="97">
        <f>IF(E332="","",IF(E332&lt;F332,"⚠ STOCK BAS","OK"))</f>
        <v/>
      </c>
    </row>
    <row r="333" ht="15" customHeight="1" s="59">
      <c r="I333" s="103" t="n"/>
      <c r="J333" s="91" t="n"/>
      <c r="K333" s="97">
        <f>IF(E333="","",IF(E333&lt;F333,"⚠ STOCK BAS","OK"))</f>
        <v/>
      </c>
    </row>
    <row r="334" ht="15" customHeight="1" s="59">
      <c r="I334" s="103" t="n"/>
      <c r="J334" s="91" t="n"/>
      <c r="K334" s="97">
        <f>IF(E334="","",IF(E334&lt;F334,"⚠ STOCK BAS","OK"))</f>
        <v/>
      </c>
    </row>
    <row r="335" ht="15" customHeight="1" s="59">
      <c r="I335" s="103" t="n"/>
      <c r="J335" s="91" t="n"/>
      <c r="K335" s="97">
        <f>IF(E335="","",IF(E335&lt;F335,"⚠ STOCK BAS","OK"))</f>
        <v/>
      </c>
    </row>
    <row r="336" ht="15" customHeight="1" s="59">
      <c r="I336" s="103" t="n"/>
      <c r="J336" s="91" t="n"/>
      <c r="K336" s="97">
        <f>IF(E336="","",IF(E336&lt;F336,"⚠ STOCK BAS","OK"))</f>
        <v/>
      </c>
    </row>
    <row r="337" ht="15" customHeight="1" s="59">
      <c r="I337" s="103" t="n"/>
      <c r="J337" s="91" t="n"/>
      <c r="K337" s="97">
        <f>IF(E337="","",IF(E337&lt;F337,"⚠ STOCK BAS","OK"))</f>
        <v/>
      </c>
    </row>
    <row r="338" ht="15" customHeight="1" s="59">
      <c r="I338" s="103" t="n"/>
      <c r="J338" s="91" t="n"/>
      <c r="K338" s="97">
        <f>IF(E338="","",IF(E338&lt;F338,"⚠ STOCK BAS","OK"))</f>
        <v/>
      </c>
    </row>
    <row r="339" ht="15" customHeight="1" s="59">
      <c r="I339" s="103" t="n"/>
      <c r="J339" s="91" t="n"/>
      <c r="K339" s="97">
        <f>IF(E339="","",IF(E339&lt;F339,"⚠ STOCK BAS","OK"))</f>
        <v/>
      </c>
    </row>
    <row r="340" ht="15" customHeight="1" s="59">
      <c r="I340" s="103" t="n"/>
      <c r="J340" s="91" t="n"/>
      <c r="K340" s="97">
        <f>IF(E340="","",IF(E340&lt;F340,"⚠ STOCK BAS","OK"))</f>
        <v/>
      </c>
    </row>
    <row r="341" ht="15" customHeight="1" s="59">
      <c r="I341" s="103" t="n"/>
      <c r="J341" s="91" t="n"/>
      <c r="K341" s="97">
        <f>IF(E341="","",IF(E341&lt;F341,"⚠ STOCK BAS","OK"))</f>
        <v/>
      </c>
    </row>
    <row r="342" ht="15" customHeight="1" s="59">
      <c r="I342" s="103" t="n"/>
      <c r="J342" s="91" t="n"/>
      <c r="K342" s="97">
        <f>IF(E342="","",IF(E342&lt;F342,"⚠ STOCK BAS","OK"))</f>
        <v/>
      </c>
    </row>
    <row r="343" ht="15" customHeight="1" s="59">
      <c r="I343" s="103" t="n"/>
      <c r="J343" s="91" t="n"/>
      <c r="K343" s="97">
        <f>IF(E343="","",IF(E343&lt;F343,"⚠ STOCK BAS","OK"))</f>
        <v/>
      </c>
    </row>
    <row r="344" ht="15" customHeight="1" s="59">
      <c r="I344" s="103" t="n"/>
      <c r="J344" s="91" t="n"/>
      <c r="K344" s="97">
        <f>IF(E344="","",IF(E344&lt;F344,"⚠ STOCK BAS","OK"))</f>
        <v/>
      </c>
    </row>
    <row r="345" ht="15" customHeight="1" s="59">
      <c r="I345" s="103" t="n"/>
      <c r="J345" s="91" t="n"/>
      <c r="K345" s="97">
        <f>IF(E345="","",IF(E345&lt;F345,"⚠ STOCK BAS","OK"))</f>
        <v/>
      </c>
    </row>
    <row r="346" ht="15" customHeight="1" s="59">
      <c r="I346" s="103" t="n"/>
      <c r="J346" s="91" t="n"/>
      <c r="K346" s="97">
        <f>IF(E346="","",IF(E346&lt;F346,"⚠ STOCK BAS","OK"))</f>
        <v/>
      </c>
    </row>
    <row r="347" ht="15" customHeight="1" s="59">
      <c r="I347" s="103" t="n"/>
      <c r="J347" s="91" t="n"/>
      <c r="K347" s="97">
        <f>IF(E347="","",IF(E347&lt;F347,"⚠ STOCK BAS","OK"))</f>
        <v/>
      </c>
    </row>
    <row r="348" ht="15" customHeight="1" s="59">
      <c r="I348" s="103" t="n"/>
      <c r="J348" s="91" t="n"/>
      <c r="K348" s="97">
        <f>IF(E348="","",IF(E348&lt;F348,"⚠ STOCK BAS","OK"))</f>
        <v/>
      </c>
    </row>
    <row r="349" ht="15" customHeight="1" s="59">
      <c r="I349" s="103" t="n"/>
      <c r="J349" s="91" t="n"/>
      <c r="K349" s="97">
        <f>IF(E349="","",IF(E349&lt;F349,"⚠ STOCK BAS","OK"))</f>
        <v/>
      </c>
    </row>
    <row r="350" ht="15" customHeight="1" s="59">
      <c r="I350" s="103" t="n"/>
      <c r="J350" s="91" t="n"/>
      <c r="K350" s="97">
        <f>IF(E350="","",IF(E350&lt;F350,"⚠ STOCK BAS","OK"))</f>
        <v/>
      </c>
    </row>
    <row r="351" ht="15" customHeight="1" s="59">
      <c r="I351" s="103" t="n"/>
      <c r="J351" s="91" t="n"/>
      <c r="K351" s="97">
        <f>IF(E351="","",IF(E351&lt;F351,"⚠ STOCK BAS","OK"))</f>
        <v/>
      </c>
    </row>
    <row r="352" ht="15" customHeight="1" s="59">
      <c r="I352" s="103" t="n"/>
      <c r="J352" s="91" t="n"/>
      <c r="K352" s="97">
        <f>IF(E352="","",IF(E352&lt;F352,"⚠ STOCK BAS","OK"))</f>
        <v/>
      </c>
    </row>
    <row r="353" ht="15" customHeight="1" s="59">
      <c r="I353" s="103" t="n"/>
      <c r="J353" s="91" t="n"/>
      <c r="K353" s="97">
        <f>IF(E353="","",IF(E353&lt;F353,"⚠ STOCK BAS","OK"))</f>
        <v/>
      </c>
    </row>
    <row r="354" ht="15" customHeight="1" s="59">
      <c r="I354" s="103" t="n"/>
      <c r="J354" s="91" t="n"/>
      <c r="K354" s="97">
        <f>IF(E354="","",IF(E354&lt;F354,"⚠ STOCK BAS","OK"))</f>
        <v/>
      </c>
    </row>
    <row r="355" ht="15" customHeight="1" s="59">
      <c r="I355" s="103" t="n"/>
      <c r="J355" s="91" t="n"/>
      <c r="K355" s="97">
        <f>IF(E355="","",IF(E355&lt;F355,"⚠ STOCK BAS","OK"))</f>
        <v/>
      </c>
    </row>
    <row r="356" ht="15" customHeight="1" s="59">
      <c r="I356" s="103" t="n"/>
      <c r="J356" s="91" t="n"/>
      <c r="K356" s="97">
        <f>IF(E356="","",IF(E356&lt;F356,"⚠ STOCK BAS","OK"))</f>
        <v/>
      </c>
    </row>
    <row r="357" ht="15" customHeight="1" s="59">
      <c r="I357" s="103" t="n"/>
      <c r="J357" s="91" t="n"/>
      <c r="K357" s="97">
        <f>IF(E357="","",IF(E357&lt;F357,"⚠ STOCK BAS","OK"))</f>
        <v/>
      </c>
    </row>
    <row r="358" ht="15" customHeight="1" s="59">
      <c r="I358" s="103" t="n"/>
      <c r="J358" s="91" t="n"/>
      <c r="K358" s="97">
        <f>IF(E358="","",IF(E358&lt;F358,"⚠ STOCK BAS","OK"))</f>
        <v/>
      </c>
    </row>
    <row r="359" ht="15" customHeight="1" s="59">
      <c r="I359" s="103" t="n"/>
      <c r="J359" s="91" t="n"/>
      <c r="K359" s="97">
        <f>IF(E359="","",IF(E359&lt;F359,"⚠ STOCK BAS","OK"))</f>
        <v/>
      </c>
    </row>
    <row r="360" ht="15" customHeight="1" s="59">
      <c r="I360" s="103" t="n"/>
      <c r="J360" s="91" t="n"/>
      <c r="K360" s="97">
        <f>IF(E360="","",IF(E360&lt;F360,"⚠ STOCK BAS","OK"))</f>
        <v/>
      </c>
    </row>
    <row r="361" ht="15" customHeight="1" s="59">
      <c r="I361" s="103" t="n"/>
      <c r="J361" s="91" t="n"/>
      <c r="K361" s="97">
        <f>IF(E361="","",IF(E361&lt;F361,"⚠ STOCK BAS","OK"))</f>
        <v/>
      </c>
    </row>
    <row r="362" ht="15" customHeight="1" s="59">
      <c r="I362" s="103" t="n"/>
      <c r="J362" s="91" t="n"/>
      <c r="K362" s="97">
        <f>IF(E362="","",IF(E362&lt;F362,"⚠ STOCK BAS","OK"))</f>
        <v/>
      </c>
    </row>
    <row r="363" ht="15" customHeight="1" s="59">
      <c r="I363" s="103" t="n"/>
      <c r="J363" s="91" t="n"/>
      <c r="K363" s="97">
        <f>IF(E363="","",IF(E363&lt;F363,"⚠ STOCK BAS","OK"))</f>
        <v/>
      </c>
    </row>
    <row r="364" ht="15" customHeight="1" s="59">
      <c r="I364" s="103" t="n"/>
      <c r="J364" s="91" t="n"/>
      <c r="K364" s="97">
        <f>IF(E364="","",IF(E364&lt;F364,"⚠ STOCK BAS","OK"))</f>
        <v/>
      </c>
    </row>
    <row r="365" ht="15" customHeight="1" s="59">
      <c r="I365" s="103" t="n"/>
      <c r="J365" s="91" t="n"/>
      <c r="K365" s="97">
        <f>IF(E365="","",IF(E365&lt;F365,"⚠ STOCK BAS","OK"))</f>
        <v/>
      </c>
    </row>
    <row r="366" ht="15" customHeight="1" s="59">
      <c r="I366" s="103" t="n"/>
      <c r="J366" s="91" t="n"/>
      <c r="K366" s="97">
        <f>IF(E366="","",IF(E366&lt;F366,"⚠ STOCK BAS","OK"))</f>
        <v/>
      </c>
    </row>
    <row r="367" ht="15" customHeight="1" s="59">
      <c r="I367" s="103" t="n"/>
      <c r="J367" s="91" t="n"/>
      <c r="K367" s="97">
        <f>IF(E367="","",IF(E367&lt;F367,"⚠ STOCK BAS","OK"))</f>
        <v/>
      </c>
    </row>
    <row r="368" ht="15" customHeight="1" s="59">
      <c r="I368" s="103" t="n"/>
      <c r="J368" s="91" t="n"/>
      <c r="K368" s="97">
        <f>IF(E368="","",IF(E368&lt;F368,"⚠ STOCK BAS","OK"))</f>
        <v/>
      </c>
    </row>
    <row r="369" ht="15" customHeight="1" s="59">
      <c r="I369" s="103" t="n"/>
      <c r="J369" s="91" t="n"/>
      <c r="K369" s="97">
        <f>IF(E369="","",IF(E369&lt;F369,"⚠ STOCK BAS","OK"))</f>
        <v/>
      </c>
    </row>
    <row r="370" ht="15" customHeight="1" s="59">
      <c r="I370" s="103" t="n"/>
      <c r="J370" s="91" t="n"/>
      <c r="K370" s="97">
        <f>IF(E370="","",IF(E370&lt;F370,"⚠ STOCK BAS","OK"))</f>
        <v/>
      </c>
    </row>
    <row r="371" ht="15" customHeight="1" s="59">
      <c r="I371" s="103" t="n"/>
      <c r="J371" s="91" t="n"/>
      <c r="K371" s="97">
        <f>IF(E371="","",IF(E371&lt;F371,"⚠ STOCK BAS","OK"))</f>
        <v/>
      </c>
    </row>
    <row r="372" ht="15" customHeight="1" s="59">
      <c r="I372" s="103" t="n"/>
      <c r="J372" s="91" t="n"/>
      <c r="K372" s="97">
        <f>IF(E372="","",IF(E372&lt;F372,"⚠ STOCK BAS","OK"))</f>
        <v/>
      </c>
    </row>
    <row r="373" ht="15" customHeight="1" s="59">
      <c r="I373" s="103" t="n"/>
      <c r="J373" s="91" t="n"/>
      <c r="K373" s="97">
        <f>IF(E373="","",IF(E373&lt;F373,"⚠ STOCK BAS","OK"))</f>
        <v/>
      </c>
    </row>
    <row r="374" ht="15" customHeight="1" s="59">
      <c r="I374" s="103" t="n"/>
      <c r="J374" s="91" t="n"/>
      <c r="K374" s="97">
        <f>IF(E374="","",IF(E374&lt;F374,"⚠ STOCK BAS","OK"))</f>
        <v/>
      </c>
    </row>
    <row r="375" ht="15" customHeight="1" s="59">
      <c r="I375" s="103" t="n"/>
      <c r="J375" s="91" t="n"/>
      <c r="K375" s="97">
        <f>IF(E375="","",IF(E375&lt;F375,"⚠ STOCK BAS","OK"))</f>
        <v/>
      </c>
    </row>
    <row r="376" ht="15" customHeight="1" s="59">
      <c r="I376" s="103" t="n"/>
      <c r="J376" s="91" t="n"/>
      <c r="K376" s="97">
        <f>IF(E376="","",IF(E376&lt;F376,"⚠ STOCK BAS","OK"))</f>
        <v/>
      </c>
    </row>
    <row r="377" ht="15" customHeight="1" s="59">
      <c r="I377" s="103" t="n"/>
      <c r="J377" s="91" t="n"/>
      <c r="K377" s="97">
        <f>IF(E377="","",IF(E377&lt;F377,"⚠ STOCK BAS","OK"))</f>
        <v/>
      </c>
    </row>
    <row r="378" ht="15" customHeight="1" s="59">
      <c r="I378" s="103" t="n"/>
      <c r="J378" s="91" t="n"/>
      <c r="K378" s="97">
        <f>IF(E378="","",IF(E378&lt;F378,"⚠ STOCK BAS","OK"))</f>
        <v/>
      </c>
    </row>
    <row r="379" ht="15" customHeight="1" s="59">
      <c r="I379" s="103" t="n"/>
      <c r="J379" s="91" t="n"/>
      <c r="K379" s="97">
        <f>IF(E379="","",IF(E379&lt;F379,"⚠ STOCK BAS","OK"))</f>
        <v/>
      </c>
    </row>
    <row r="380" ht="15" customHeight="1" s="59">
      <c r="I380" s="103" t="n"/>
      <c r="J380" s="91" t="n"/>
      <c r="K380" s="97">
        <f>IF(E380="","",IF(E380&lt;F380,"⚠ STOCK BAS","OK"))</f>
        <v/>
      </c>
    </row>
    <row r="381" ht="15" customHeight="1" s="59">
      <c r="I381" s="103" t="n"/>
      <c r="J381" s="91" t="n"/>
      <c r="K381" s="97">
        <f>IF(E381="","",IF(E381&lt;F381,"⚠ STOCK BAS","OK"))</f>
        <v/>
      </c>
    </row>
    <row r="382" ht="15" customHeight="1" s="59">
      <c r="I382" s="103" t="n"/>
      <c r="J382" s="91" t="n"/>
      <c r="K382" s="97">
        <f>IF(E382="","",IF(E382&lt;F382,"⚠ STOCK BAS","OK"))</f>
        <v/>
      </c>
    </row>
    <row r="383" ht="15" customHeight="1" s="59">
      <c r="I383" s="103" t="n"/>
      <c r="J383" s="91" t="n"/>
      <c r="K383" s="97">
        <f>IF(E383="","",IF(E383&lt;F383,"⚠ STOCK BAS","OK"))</f>
        <v/>
      </c>
    </row>
    <row r="384" ht="15" customHeight="1" s="59">
      <c r="I384" s="103" t="n"/>
      <c r="J384" s="91" t="n"/>
      <c r="K384" s="97">
        <f>IF(E384="","",IF(E384&lt;F384,"⚠ STOCK BAS","OK"))</f>
        <v/>
      </c>
    </row>
    <row r="385" ht="15" customHeight="1" s="59">
      <c r="I385" s="103" t="n"/>
      <c r="J385" s="91" t="n"/>
      <c r="K385" s="97">
        <f>IF(E385="","",IF(E385&lt;F385,"⚠ STOCK BAS","OK"))</f>
        <v/>
      </c>
    </row>
    <row r="386" ht="15" customHeight="1" s="59">
      <c r="I386" s="103" t="n"/>
      <c r="J386" s="91" t="n"/>
      <c r="K386" s="97">
        <f>IF(E386="","",IF(E386&lt;F386,"⚠ STOCK BAS","OK"))</f>
        <v/>
      </c>
    </row>
    <row r="387" ht="15" customHeight="1" s="59">
      <c r="I387" s="103" t="n"/>
      <c r="J387" s="91" t="n"/>
      <c r="K387" s="97">
        <f>IF(E387="","",IF(E387&lt;F387,"⚠ STOCK BAS","OK"))</f>
        <v/>
      </c>
    </row>
    <row r="388" ht="15" customHeight="1" s="59">
      <c r="I388" s="103" t="n"/>
      <c r="J388" s="91" t="n"/>
      <c r="K388" s="97">
        <f>IF(E388="","",IF(E388&lt;F388,"⚠ STOCK BAS","OK"))</f>
        <v/>
      </c>
    </row>
    <row r="389" ht="15" customHeight="1" s="59">
      <c r="I389" s="103" t="n"/>
      <c r="J389" s="91" t="n"/>
      <c r="K389" s="97">
        <f>IF(E389="","",IF(E389&lt;F389,"⚠ STOCK BAS","OK"))</f>
        <v/>
      </c>
    </row>
    <row r="390" ht="15" customHeight="1" s="59">
      <c r="I390" s="103" t="n"/>
      <c r="J390" s="91" t="n"/>
      <c r="K390" s="97">
        <f>IF(E390="","",IF(E390&lt;F390,"⚠ STOCK BAS","OK"))</f>
        <v/>
      </c>
    </row>
    <row r="391" ht="15" customHeight="1" s="59">
      <c r="I391" s="103" t="n"/>
      <c r="J391" s="91" t="n"/>
      <c r="K391" s="97">
        <f>IF(E391="","",IF(E391&lt;F391,"⚠ STOCK BAS","OK"))</f>
        <v/>
      </c>
    </row>
    <row r="392" ht="15" customHeight="1" s="59">
      <c r="I392" s="103" t="n"/>
      <c r="J392" s="91" t="n"/>
      <c r="K392" s="97">
        <f>IF(E392="","",IF(E392&lt;F392,"⚠ STOCK BAS","OK"))</f>
        <v/>
      </c>
    </row>
    <row r="393" ht="15" customHeight="1" s="59">
      <c r="I393" s="103" t="n"/>
      <c r="J393" s="91" t="n"/>
      <c r="K393" s="97">
        <f>IF(E393="","",IF(E393&lt;F393,"⚠ STOCK BAS","OK"))</f>
        <v/>
      </c>
    </row>
    <row r="394" ht="15" customHeight="1" s="59">
      <c r="I394" s="103" t="n"/>
      <c r="J394" s="91" t="n"/>
      <c r="K394" s="97">
        <f>IF(E394="","",IF(E394&lt;F394,"⚠ STOCK BAS","OK"))</f>
        <v/>
      </c>
    </row>
    <row r="395" ht="15" customHeight="1" s="59">
      <c r="I395" s="103" t="n"/>
      <c r="J395" s="91" t="n"/>
      <c r="K395" s="97">
        <f>IF(E395="","",IF(E395&lt;F395,"⚠ STOCK BAS","OK"))</f>
        <v/>
      </c>
    </row>
    <row r="396" ht="15" customHeight="1" s="59">
      <c r="I396" s="103" t="n"/>
      <c r="J396" s="91" t="n"/>
      <c r="K396" s="97">
        <f>IF(E396="","",IF(E396&lt;F396,"⚠ STOCK BAS","OK"))</f>
        <v/>
      </c>
    </row>
    <row r="397" ht="15" customHeight="1" s="59">
      <c r="I397" s="103" t="n"/>
      <c r="J397" s="91" t="n"/>
      <c r="K397" s="97">
        <f>IF(E397="","",IF(E397&lt;F397,"⚠ STOCK BAS","OK"))</f>
        <v/>
      </c>
    </row>
    <row r="398" ht="15" customHeight="1" s="59">
      <c r="I398" s="103" t="n"/>
      <c r="J398" s="91" t="n"/>
      <c r="K398" s="97">
        <f>IF(E398="","",IF(E398&lt;F398,"⚠ STOCK BAS","OK"))</f>
        <v/>
      </c>
    </row>
    <row r="399" ht="15" customHeight="1" s="59">
      <c r="I399" s="103" t="n"/>
      <c r="J399" s="91" t="n"/>
      <c r="K399" s="97">
        <f>IF(E399="","",IF(E399&lt;F399,"⚠ STOCK BAS","OK"))</f>
        <v/>
      </c>
    </row>
    <row r="400" ht="15" customHeight="1" s="59">
      <c r="I400" s="103" t="n"/>
      <c r="J400" s="91" t="n"/>
      <c r="K400" s="97">
        <f>IF(E400="","",IF(E400&lt;F400,"⚠ STOCK BAS","OK"))</f>
        <v/>
      </c>
    </row>
    <row r="401" ht="15" customHeight="1" s="59">
      <c r="I401" s="103" t="n"/>
      <c r="J401" s="91" t="n"/>
      <c r="K401" s="97">
        <f>IF(E401="","",IF(E401&lt;F401,"⚠ STOCK BAS","OK"))</f>
        <v/>
      </c>
    </row>
    <row r="402" ht="15" customHeight="1" s="59">
      <c r="I402" s="103" t="n"/>
      <c r="J402" s="91" t="n"/>
      <c r="K402" s="97">
        <f>IF(E402="","",IF(E402&lt;F402,"⚠ STOCK BAS","OK"))</f>
        <v/>
      </c>
    </row>
    <row r="403" ht="15" customHeight="1" s="59">
      <c r="I403" s="103" t="n"/>
      <c r="J403" s="91" t="n"/>
      <c r="K403" s="97">
        <f>IF(E403="","",IF(E403&lt;F403,"⚠ STOCK BAS","OK"))</f>
        <v/>
      </c>
    </row>
    <row r="404" ht="15" customHeight="1" s="59">
      <c r="I404" s="103" t="n"/>
      <c r="J404" s="91" t="n"/>
      <c r="K404" s="97">
        <f>IF(E404="","",IF(E404&lt;F404,"⚠ STOCK BAS","OK"))</f>
        <v/>
      </c>
    </row>
    <row r="405" ht="15" customHeight="1" s="59">
      <c r="I405" s="103" t="n"/>
      <c r="J405" s="91" t="n"/>
      <c r="K405" s="97">
        <f>IF(E405="","",IF(E405&lt;F405,"⚠ STOCK BAS","OK"))</f>
        <v/>
      </c>
    </row>
    <row r="406" ht="15" customHeight="1" s="59">
      <c r="I406" s="103" t="n"/>
      <c r="J406" s="91" t="n"/>
      <c r="K406" s="97">
        <f>IF(E406="","",IF(E406&lt;F406,"⚠ STOCK BAS","OK"))</f>
        <v/>
      </c>
    </row>
    <row r="407" ht="15" customHeight="1" s="59">
      <c r="I407" s="103" t="n"/>
      <c r="J407" s="91" t="n"/>
      <c r="K407" s="97">
        <f>IF(E407="","",IF(E407&lt;F407,"⚠ STOCK BAS","OK"))</f>
        <v/>
      </c>
    </row>
    <row r="408" ht="15" customHeight="1" s="59">
      <c r="I408" s="103" t="n"/>
      <c r="J408" s="91" t="n"/>
      <c r="K408" s="97">
        <f>IF(E408="","",IF(E408&lt;F408,"⚠ STOCK BAS","OK"))</f>
        <v/>
      </c>
    </row>
    <row r="409" ht="15" customHeight="1" s="59">
      <c r="I409" s="103" t="n"/>
      <c r="J409" s="91" t="n"/>
      <c r="K409" s="97">
        <f>IF(E409="","",IF(E409&lt;F409,"⚠ STOCK BAS","OK"))</f>
        <v/>
      </c>
    </row>
    <row r="410" ht="15" customHeight="1" s="59">
      <c r="I410" s="103" t="n"/>
      <c r="J410" s="91" t="n"/>
      <c r="K410" s="97">
        <f>IF(E410="","",IF(E410&lt;F410,"⚠ STOCK BAS","OK"))</f>
        <v/>
      </c>
    </row>
    <row r="411" ht="15" customHeight="1" s="59">
      <c r="I411" s="103" t="n"/>
      <c r="J411" s="91" t="n"/>
      <c r="K411" s="97">
        <f>IF(E411="","",IF(E411&lt;F411,"⚠ STOCK BAS","OK"))</f>
        <v/>
      </c>
    </row>
    <row r="412" ht="15" customHeight="1" s="59">
      <c r="I412" s="103" t="n"/>
      <c r="J412" s="91" t="n"/>
      <c r="K412" s="97">
        <f>IF(E412="","",IF(E412&lt;F412,"⚠ STOCK BAS","OK"))</f>
        <v/>
      </c>
    </row>
    <row r="413" ht="15" customHeight="1" s="59">
      <c r="I413" s="103" t="n"/>
      <c r="J413" s="91" t="n"/>
      <c r="K413" s="97">
        <f>IF(E413="","",IF(E413&lt;F413,"⚠ STOCK BAS","OK"))</f>
        <v/>
      </c>
    </row>
    <row r="414" ht="15" customHeight="1" s="59">
      <c r="I414" s="103" t="n"/>
      <c r="J414" s="91" t="n"/>
      <c r="K414" s="97">
        <f>IF(E414="","",IF(E414&lt;F414,"⚠ STOCK BAS","OK"))</f>
        <v/>
      </c>
    </row>
    <row r="415" ht="15" customHeight="1" s="59">
      <c r="I415" s="103" t="n"/>
      <c r="J415" s="91" t="n"/>
      <c r="K415" s="97">
        <f>IF(E415="","",IF(E415&lt;F415,"⚠ STOCK BAS","OK"))</f>
        <v/>
      </c>
    </row>
    <row r="416" ht="15" customHeight="1" s="59">
      <c r="I416" s="103" t="n"/>
      <c r="J416" s="91" t="n"/>
      <c r="K416" s="97">
        <f>IF(E416="","",IF(E416&lt;F416,"⚠ STOCK BAS","OK"))</f>
        <v/>
      </c>
    </row>
    <row r="417" ht="15" customHeight="1" s="59">
      <c r="I417" s="103" t="n"/>
      <c r="J417" s="91" t="n"/>
      <c r="K417" s="97">
        <f>IF(E417="","",IF(E417&lt;F417,"⚠ STOCK BAS","OK"))</f>
        <v/>
      </c>
    </row>
    <row r="418" ht="15" customHeight="1" s="59">
      <c r="I418" s="103" t="n"/>
      <c r="J418" s="91" t="n"/>
      <c r="K418" s="97">
        <f>IF(E418="","",IF(E418&lt;F418,"⚠ STOCK BAS","OK"))</f>
        <v/>
      </c>
    </row>
    <row r="419" ht="15" customHeight="1" s="59">
      <c r="I419" s="103" t="n"/>
      <c r="J419" s="91" t="n"/>
      <c r="K419" s="97">
        <f>IF(E419="","",IF(E419&lt;F419,"⚠ STOCK BAS","OK"))</f>
        <v/>
      </c>
    </row>
    <row r="420" ht="15" customHeight="1" s="59">
      <c r="I420" s="103" t="n"/>
      <c r="J420" s="91" t="n"/>
      <c r="K420" s="97">
        <f>IF(E420="","",IF(E420&lt;F420,"⚠ STOCK BAS","OK"))</f>
        <v/>
      </c>
    </row>
    <row r="421" ht="15" customHeight="1" s="59">
      <c r="I421" s="103" t="n"/>
      <c r="J421" s="91" t="n"/>
      <c r="K421" s="97">
        <f>IF(E421="","",IF(E421&lt;F421,"⚠ STOCK BAS","OK"))</f>
        <v/>
      </c>
    </row>
    <row r="422" ht="15" customHeight="1" s="59">
      <c r="I422" s="103" t="n"/>
      <c r="J422" s="91" t="n"/>
      <c r="K422" s="97">
        <f>IF(E422="","",IF(E422&lt;F422,"⚠ STOCK BAS","OK"))</f>
        <v/>
      </c>
    </row>
    <row r="423" ht="15" customHeight="1" s="59">
      <c r="I423" s="103" t="n"/>
      <c r="J423" s="91" t="n"/>
      <c r="K423" s="97">
        <f>IF(E423="","",IF(E423&lt;F423,"⚠ STOCK BAS","OK"))</f>
        <v/>
      </c>
    </row>
    <row r="424" ht="15" customHeight="1" s="59">
      <c r="I424" s="103" t="n"/>
      <c r="J424" s="91" t="n"/>
      <c r="K424" s="97">
        <f>IF(E424="","",IF(E424&lt;F424,"⚠ STOCK BAS","OK"))</f>
        <v/>
      </c>
    </row>
    <row r="425" ht="15" customHeight="1" s="59">
      <c r="I425" s="103" t="n"/>
      <c r="J425" s="91" t="n"/>
      <c r="K425" s="97">
        <f>IF(E425="","",IF(E425&lt;F425,"⚠ STOCK BAS","OK"))</f>
        <v/>
      </c>
    </row>
    <row r="426" ht="15" customHeight="1" s="59">
      <c r="I426" s="103" t="n"/>
      <c r="J426" s="91" t="n"/>
      <c r="K426" s="97">
        <f>IF(E426="","",IF(E426&lt;F426,"⚠ STOCK BAS","OK"))</f>
        <v/>
      </c>
    </row>
    <row r="427" ht="15" customHeight="1" s="59">
      <c r="I427" s="103" t="n"/>
      <c r="J427" s="91" t="n"/>
      <c r="K427" s="97">
        <f>IF(E427="","",IF(E427&lt;F427,"⚠ STOCK BAS","OK"))</f>
        <v/>
      </c>
    </row>
    <row r="428" ht="15" customHeight="1" s="59">
      <c r="I428" s="103" t="n"/>
      <c r="J428" s="91" t="n"/>
      <c r="K428" s="97">
        <f>IF(E428="","",IF(E428&lt;F428,"⚠ STOCK BAS","OK"))</f>
        <v/>
      </c>
    </row>
    <row r="429" ht="15" customHeight="1" s="59">
      <c r="I429" s="103" t="n"/>
      <c r="J429" s="91" t="n"/>
      <c r="K429" s="97">
        <f>IF(E429="","",IF(E429&lt;F429,"⚠ STOCK BAS","OK"))</f>
        <v/>
      </c>
    </row>
    <row r="430" ht="15" customHeight="1" s="59">
      <c r="I430" s="103" t="n"/>
      <c r="J430" s="91" t="n"/>
      <c r="K430" s="97">
        <f>IF(E430="","",IF(E430&lt;F430,"⚠ STOCK BAS","OK"))</f>
        <v/>
      </c>
    </row>
    <row r="431" ht="15" customHeight="1" s="59">
      <c r="I431" s="103" t="n"/>
      <c r="J431" s="91" t="n"/>
      <c r="K431" s="97">
        <f>IF(E431="","",IF(E431&lt;F431,"⚠ STOCK BAS","OK"))</f>
        <v/>
      </c>
    </row>
    <row r="432" ht="15" customHeight="1" s="59">
      <c r="I432" s="103" t="n"/>
      <c r="J432" s="91" t="n"/>
      <c r="K432" s="97">
        <f>IF(E432="","",IF(E432&lt;F432,"⚠ STOCK BAS","OK"))</f>
        <v/>
      </c>
    </row>
    <row r="433" ht="15" customHeight="1" s="59">
      <c r="I433" s="103" t="n"/>
      <c r="J433" s="91" t="n"/>
      <c r="K433" s="97">
        <f>IF(E433="","",IF(E433&lt;F433,"⚠ STOCK BAS","OK"))</f>
        <v/>
      </c>
    </row>
    <row r="434" ht="15" customHeight="1" s="59">
      <c r="I434" s="103" t="n"/>
      <c r="J434" s="91" t="n"/>
      <c r="K434" s="97">
        <f>IF(E434="","",IF(E434&lt;F434,"⚠ STOCK BAS","OK"))</f>
        <v/>
      </c>
    </row>
    <row r="435" ht="15" customHeight="1" s="59">
      <c r="I435" s="103" t="n"/>
      <c r="J435" s="91" t="n"/>
      <c r="K435" s="97">
        <f>IF(E435="","",IF(E435&lt;F435,"⚠ STOCK BAS","OK"))</f>
        <v/>
      </c>
    </row>
    <row r="436" ht="15" customHeight="1" s="59">
      <c r="I436" s="103" t="n"/>
      <c r="J436" s="91" t="n"/>
      <c r="K436" s="97">
        <f>IF(E436="","",IF(E436&lt;F436,"⚠ STOCK BAS","OK"))</f>
        <v/>
      </c>
    </row>
    <row r="437" ht="15" customHeight="1" s="59">
      <c r="I437" s="103" t="n"/>
      <c r="J437" s="91" t="n"/>
      <c r="K437" s="97">
        <f>IF(E437="","",IF(E437&lt;F437,"⚠ STOCK BAS","OK"))</f>
        <v/>
      </c>
    </row>
    <row r="438" ht="15" customHeight="1" s="59">
      <c r="I438" s="103" t="n"/>
      <c r="J438" s="91" t="n"/>
      <c r="K438" s="97">
        <f>IF(E438="","",IF(E438&lt;F438,"⚠ STOCK BAS","OK"))</f>
        <v/>
      </c>
    </row>
    <row r="439" ht="15" customHeight="1" s="59">
      <c r="I439" s="103" t="n"/>
      <c r="J439" s="91" t="n"/>
      <c r="K439" s="97">
        <f>IF(E439="","",IF(E439&lt;F439,"⚠ STOCK BAS","OK"))</f>
        <v/>
      </c>
    </row>
    <row r="440" ht="15" customHeight="1" s="59">
      <c r="I440" s="103" t="n"/>
      <c r="J440" s="91" t="n"/>
      <c r="K440" s="97">
        <f>IF(E440="","",IF(E440&lt;F440,"⚠ STOCK BAS","OK"))</f>
        <v/>
      </c>
    </row>
    <row r="441" ht="15" customHeight="1" s="59">
      <c r="I441" s="103" t="n"/>
      <c r="J441" s="91" t="n"/>
      <c r="K441" s="97">
        <f>IF(E441="","",IF(E441&lt;F441,"⚠ STOCK BAS","OK"))</f>
        <v/>
      </c>
    </row>
    <row r="442" ht="15" customHeight="1" s="59">
      <c r="I442" s="103" t="n"/>
      <c r="J442" s="91" t="n"/>
      <c r="K442" s="97">
        <f>IF(E442="","",IF(E442&lt;F442,"⚠ STOCK BAS","OK"))</f>
        <v/>
      </c>
    </row>
    <row r="443" ht="15" customHeight="1" s="59">
      <c r="I443" s="103" t="n"/>
      <c r="J443" s="91" t="n"/>
      <c r="K443" s="97">
        <f>IF(E443="","",IF(E443&lt;F443,"⚠ STOCK BAS","OK"))</f>
        <v/>
      </c>
    </row>
    <row r="444" ht="15" customHeight="1" s="59">
      <c r="I444" s="103" t="n"/>
      <c r="J444" s="91" t="n"/>
      <c r="K444" s="97">
        <f>IF(E444="","",IF(E444&lt;F444,"⚠ STOCK BAS","OK"))</f>
        <v/>
      </c>
    </row>
    <row r="445" ht="15" customHeight="1" s="59">
      <c r="I445" s="103" t="n"/>
      <c r="J445" s="91" t="n"/>
      <c r="K445" s="97">
        <f>IF(E445="","",IF(E445&lt;F445,"⚠ STOCK BAS","OK"))</f>
        <v/>
      </c>
    </row>
    <row r="446" ht="15" customHeight="1" s="59">
      <c r="I446" s="103" t="n"/>
      <c r="J446" s="91" t="n"/>
      <c r="K446" s="97">
        <f>IF(E446="","",IF(E446&lt;F446,"⚠ STOCK BAS","OK"))</f>
        <v/>
      </c>
    </row>
    <row r="447" ht="15" customHeight="1" s="59">
      <c r="I447" s="103" t="n"/>
      <c r="J447" s="91" t="n"/>
      <c r="K447" s="97">
        <f>IF(E447="","",IF(E447&lt;F447,"⚠ STOCK BAS","OK"))</f>
        <v/>
      </c>
    </row>
    <row r="448" ht="15" customHeight="1" s="59">
      <c r="I448" s="103" t="n"/>
      <c r="J448" s="91" t="n"/>
      <c r="K448" s="97">
        <f>IF(E448="","",IF(E448&lt;F448,"⚠ STOCK BAS","OK"))</f>
        <v/>
      </c>
    </row>
    <row r="449" ht="15" customHeight="1" s="59">
      <c r="I449" s="103" t="n"/>
      <c r="J449" s="91" t="n"/>
      <c r="K449" s="97">
        <f>IF(E449="","",IF(E449&lt;F449,"⚠ STOCK BAS","OK"))</f>
        <v/>
      </c>
    </row>
    <row r="450" ht="15" customHeight="1" s="59">
      <c r="I450" s="103" t="n"/>
      <c r="J450" s="91" t="n"/>
      <c r="K450" s="97">
        <f>IF(E450="","",IF(E450&lt;F450,"⚠ STOCK BAS","OK"))</f>
        <v/>
      </c>
    </row>
    <row r="451" ht="15" customHeight="1" s="59">
      <c r="I451" s="103" t="n"/>
      <c r="J451" s="91" t="n"/>
      <c r="K451" s="97">
        <f>IF(E451="","",IF(E451&lt;F451,"⚠ STOCK BAS","OK"))</f>
        <v/>
      </c>
    </row>
    <row r="452" ht="15" customHeight="1" s="59">
      <c r="I452" s="103" t="n"/>
      <c r="J452" s="91" t="n"/>
      <c r="K452" s="97">
        <f>IF(E452="","",IF(E452&lt;F452,"⚠ STOCK BAS","OK"))</f>
        <v/>
      </c>
    </row>
    <row r="453" ht="15" customHeight="1" s="59">
      <c r="I453" s="103" t="n"/>
      <c r="J453" s="91" t="n"/>
      <c r="K453" s="97">
        <f>IF(E453="","",IF(E453&lt;F453,"⚠ STOCK BAS","OK"))</f>
        <v/>
      </c>
    </row>
    <row r="454" ht="15" customHeight="1" s="59">
      <c r="I454" s="103" t="n"/>
      <c r="J454" s="91" t="n"/>
      <c r="K454" s="97">
        <f>IF(E454="","",IF(E454&lt;F454,"⚠ STOCK BAS","OK"))</f>
        <v/>
      </c>
    </row>
    <row r="455" ht="15" customHeight="1" s="59">
      <c r="I455" s="103" t="n"/>
      <c r="J455" s="91" t="n"/>
      <c r="K455" s="97">
        <f>IF(E455="","",IF(E455&lt;F455,"⚠ STOCK BAS","OK"))</f>
        <v/>
      </c>
    </row>
    <row r="456" ht="15" customHeight="1" s="59">
      <c r="I456" s="103" t="n"/>
      <c r="J456" s="91" t="n"/>
      <c r="K456" s="97">
        <f>IF(E456="","",IF(E456&lt;F456,"⚠ STOCK BAS","OK"))</f>
        <v/>
      </c>
    </row>
    <row r="457" ht="15" customHeight="1" s="59">
      <c r="I457" s="103" t="n"/>
      <c r="J457" s="91" t="n"/>
      <c r="K457" s="97">
        <f>IF(E457="","",IF(E457&lt;F457,"⚠ STOCK BAS","OK"))</f>
        <v/>
      </c>
    </row>
    <row r="458" ht="15" customHeight="1" s="59">
      <c r="I458" s="103" t="n"/>
      <c r="J458" s="91" t="n"/>
      <c r="K458" s="97">
        <f>IF(E458="","",IF(E458&lt;F458,"⚠ STOCK BAS","OK"))</f>
        <v/>
      </c>
    </row>
    <row r="459" ht="15" customHeight="1" s="59">
      <c r="I459" s="103" t="n"/>
      <c r="J459" s="91" t="n"/>
      <c r="K459" s="97">
        <f>IF(E459="","",IF(E459&lt;F459,"⚠ STOCK BAS","OK"))</f>
        <v/>
      </c>
    </row>
    <row r="460" ht="15" customHeight="1" s="59">
      <c r="I460" s="103" t="n"/>
      <c r="J460" s="91" t="n"/>
      <c r="K460" s="97">
        <f>IF(E460="","",IF(E460&lt;F460,"⚠ STOCK BAS","OK"))</f>
        <v/>
      </c>
    </row>
    <row r="461" ht="15" customHeight="1" s="59">
      <c r="I461" s="103" t="n"/>
      <c r="J461" s="91" t="n"/>
      <c r="K461" s="97">
        <f>IF(E461="","",IF(E461&lt;F461,"⚠ STOCK BAS","OK"))</f>
        <v/>
      </c>
    </row>
    <row r="462" ht="15" customHeight="1" s="59">
      <c r="I462" s="103" t="n"/>
      <c r="J462" s="91" t="n"/>
      <c r="K462" s="97">
        <f>IF(E462="","",IF(E462&lt;F462,"⚠ STOCK BAS","OK"))</f>
        <v/>
      </c>
    </row>
    <row r="463" ht="15" customHeight="1" s="59">
      <c r="I463" s="103" t="n"/>
      <c r="J463" s="91" t="n"/>
      <c r="K463" s="97">
        <f>IF(E463="","",IF(E463&lt;F463,"⚠ STOCK BAS","OK"))</f>
        <v/>
      </c>
    </row>
    <row r="464" ht="15" customHeight="1" s="59">
      <c r="I464" s="103" t="n"/>
      <c r="J464" s="91" t="n"/>
      <c r="K464" s="97">
        <f>IF(E464="","",IF(E464&lt;F464,"⚠ STOCK BAS","OK"))</f>
        <v/>
      </c>
    </row>
    <row r="465" ht="15" customHeight="1" s="59">
      <c r="I465" s="103" t="n"/>
      <c r="J465" s="91" t="n"/>
      <c r="K465" s="97">
        <f>IF(E465="","",IF(E465&lt;F465,"⚠ STOCK BAS","OK"))</f>
        <v/>
      </c>
    </row>
    <row r="466" ht="15" customHeight="1" s="59">
      <c r="I466" s="103" t="n"/>
      <c r="J466" s="91" t="n"/>
      <c r="K466" s="97">
        <f>IF(E466="","",IF(E466&lt;F466,"⚠ STOCK BAS","OK"))</f>
        <v/>
      </c>
    </row>
    <row r="467" ht="15" customHeight="1" s="59">
      <c r="I467" s="103" t="n"/>
      <c r="J467" s="91" t="n"/>
      <c r="K467" s="97">
        <f>IF(E467="","",IF(E467&lt;F467,"⚠ STOCK BAS","OK"))</f>
        <v/>
      </c>
    </row>
    <row r="468" ht="15" customHeight="1" s="59">
      <c r="I468" s="103" t="n"/>
      <c r="J468" s="91" t="n"/>
      <c r="K468" s="97">
        <f>IF(E468="","",IF(E468&lt;F468,"⚠ STOCK BAS","OK"))</f>
        <v/>
      </c>
    </row>
    <row r="469" ht="15" customHeight="1" s="59">
      <c r="I469" s="103" t="n"/>
      <c r="J469" s="91" t="n"/>
      <c r="K469" s="97">
        <f>IF(E469="","",IF(E469&lt;F469,"⚠ STOCK BAS","OK"))</f>
        <v/>
      </c>
    </row>
    <row r="470" ht="15" customHeight="1" s="59">
      <c r="I470" s="103" t="n"/>
      <c r="J470" s="91" t="n"/>
      <c r="K470" s="97">
        <f>IF(E470="","",IF(E470&lt;F470,"⚠ STOCK BAS","OK"))</f>
        <v/>
      </c>
    </row>
    <row r="471" ht="15" customHeight="1" s="59">
      <c r="I471" s="103" t="n"/>
      <c r="J471" s="91" t="n"/>
      <c r="K471" s="97">
        <f>IF(E471="","",IF(E471&lt;F471,"⚠ STOCK BAS","OK"))</f>
        <v/>
      </c>
    </row>
    <row r="472" ht="15" customHeight="1" s="59">
      <c r="I472" s="103" t="n"/>
      <c r="J472" s="91" t="n"/>
      <c r="K472" s="97">
        <f>IF(E472="","",IF(E472&lt;F472,"⚠ STOCK BAS","OK"))</f>
        <v/>
      </c>
    </row>
    <row r="473" ht="15" customHeight="1" s="59">
      <c r="I473" s="103" t="n"/>
      <c r="J473" s="91" t="n"/>
      <c r="K473" s="97">
        <f>IF(E473="","",IF(E473&lt;F473,"⚠ STOCK BAS","OK"))</f>
        <v/>
      </c>
    </row>
    <row r="474" ht="15" customHeight="1" s="59">
      <c r="I474" s="103" t="n"/>
      <c r="J474" s="91" t="n"/>
      <c r="K474" s="97">
        <f>IF(E474="","",IF(E474&lt;F474,"⚠ STOCK BAS","OK"))</f>
        <v/>
      </c>
    </row>
    <row r="475" ht="15" customHeight="1" s="59">
      <c r="I475" s="103" t="n"/>
      <c r="J475" s="91" t="n"/>
      <c r="K475" s="97">
        <f>IF(E475="","",IF(E475&lt;F475,"⚠ STOCK BAS","OK"))</f>
        <v/>
      </c>
    </row>
    <row r="476" ht="15" customHeight="1" s="59">
      <c r="I476" s="103" t="n"/>
      <c r="J476" s="91" t="n"/>
      <c r="K476" s="97">
        <f>IF(E476="","",IF(E476&lt;F476,"⚠ STOCK BAS","OK"))</f>
        <v/>
      </c>
    </row>
    <row r="477" ht="15" customHeight="1" s="59">
      <c r="I477" s="103" t="n"/>
      <c r="J477" s="91" t="n"/>
      <c r="K477" s="97">
        <f>IF(E477="","",IF(E477&lt;F477,"⚠ STOCK BAS","OK"))</f>
        <v/>
      </c>
    </row>
    <row r="478" ht="15" customHeight="1" s="59">
      <c r="I478" s="103" t="n"/>
      <c r="J478" s="91" t="n"/>
      <c r="K478" s="97">
        <f>IF(E478="","",IF(E478&lt;F478,"⚠ STOCK BAS","OK"))</f>
        <v/>
      </c>
    </row>
    <row r="479" ht="15" customHeight="1" s="59">
      <c r="I479" s="103" t="n"/>
      <c r="J479" s="91" t="n"/>
      <c r="K479" s="97">
        <f>IF(E479="","",IF(E479&lt;F479,"⚠ STOCK BAS","OK"))</f>
        <v/>
      </c>
    </row>
    <row r="480" ht="15" customHeight="1" s="59">
      <c r="I480" s="103" t="n"/>
      <c r="J480" s="91" t="n"/>
      <c r="K480" s="97">
        <f>IF(E480="","",IF(E480&lt;F480,"⚠ STOCK BAS","OK"))</f>
        <v/>
      </c>
    </row>
    <row r="481" ht="15" customHeight="1" s="59">
      <c r="I481" s="103" t="n"/>
      <c r="J481" s="91" t="n"/>
      <c r="K481" s="97">
        <f>IF(E481="","",IF(E481&lt;F481,"⚠ STOCK BAS","OK"))</f>
        <v/>
      </c>
    </row>
    <row r="482" ht="15" customHeight="1" s="59">
      <c r="I482" s="103" t="n"/>
      <c r="J482" s="91" t="n"/>
      <c r="K482" s="97">
        <f>IF(E482="","",IF(E482&lt;F482,"⚠ STOCK BAS","OK"))</f>
        <v/>
      </c>
    </row>
    <row r="483" ht="15" customHeight="1" s="59">
      <c r="I483" s="103" t="n"/>
      <c r="J483" s="91" t="n"/>
      <c r="K483" s="97">
        <f>IF(E483="","",IF(E483&lt;F483,"⚠ STOCK BAS","OK"))</f>
        <v/>
      </c>
    </row>
    <row r="484" ht="15" customHeight="1" s="59">
      <c r="I484" s="103" t="n"/>
      <c r="J484" s="91" t="n"/>
      <c r="K484" s="97">
        <f>IF(E484="","",IF(E484&lt;F484,"⚠ STOCK BAS","OK"))</f>
        <v/>
      </c>
    </row>
    <row r="485" ht="15" customHeight="1" s="59">
      <c r="I485" s="103" t="n"/>
      <c r="J485" s="91" t="n"/>
      <c r="K485" s="97">
        <f>IF(E485="","",IF(E485&lt;F485,"⚠ STOCK BAS","OK"))</f>
        <v/>
      </c>
    </row>
    <row r="486" ht="15" customHeight="1" s="59">
      <c r="I486" s="103" t="n"/>
      <c r="J486" s="91" t="n"/>
      <c r="K486" s="97">
        <f>IF(E486="","",IF(E486&lt;F486,"⚠ STOCK BAS","OK"))</f>
        <v/>
      </c>
    </row>
    <row r="487" ht="15" customHeight="1" s="59">
      <c r="I487" s="103" t="n"/>
      <c r="J487" s="91" t="n"/>
      <c r="K487" s="97">
        <f>IF(E487="","",IF(E487&lt;F487,"⚠ STOCK BAS","OK"))</f>
        <v/>
      </c>
    </row>
    <row r="488" ht="15" customHeight="1" s="59">
      <c r="I488" s="103" t="n"/>
      <c r="J488" s="91" t="n"/>
      <c r="K488" s="97">
        <f>IF(E488="","",IF(E488&lt;F488,"⚠ STOCK BAS","OK"))</f>
        <v/>
      </c>
    </row>
    <row r="489" ht="15" customHeight="1" s="59">
      <c r="I489" s="103" t="n"/>
      <c r="J489" s="91" t="n"/>
      <c r="K489" s="97">
        <f>IF(E489="","",IF(E489&lt;F489,"⚠ STOCK BAS","OK"))</f>
        <v/>
      </c>
    </row>
    <row r="490" ht="15" customHeight="1" s="59">
      <c r="I490" s="103" t="n"/>
      <c r="J490" s="91" t="n"/>
      <c r="K490" s="97">
        <f>IF(E490="","",IF(E490&lt;F490,"⚠ STOCK BAS","OK"))</f>
        <v/>
      </c>
    </row>
    <row r="491" ht="15" customHeight="1" s="59">
      <c r="I491" s="103" t="n"/>
      <c r="J491" s="91" t="n"/>
      <c r="K491" s="97">
        <f>IF(E491="","",IF(E491&lt;F491,"⚠ STOCK BAS","OK"))</f>
        <v/>
      </c>
    </row>
    <row r="492" ht="15" customHeight="1" s="59">
      <c r="I492" s="103" t="n"/>
      <c r="J492" s="91" t="n"/>
      <c r="K492" s="97">
        <f>IF(E492="","",IF(E492&lt;F492,"⚠ STOCK BAS","OK"))</f>
        <v/>
      </c>
    </row>
    <row r="493" ht="15" customHeight="1" s="59">
      <c r="I493" s="103" t="n"/>
      <c r="J493" s="91" t="n"/>
      <c r="K493" s="97">
        <f>IF(E493="","",IF(E493&lt;F493,"⚠ STOCK BAS","OK"))</f>
        <v/>
      </c>
    </row>
    <row r="494" ht="15" customHeight="1" s="59">
      <c r="I494" s="103" t="n"/>
      <c r="J494" s="91" t="n"/>
      <c r="K494" s="97">
        <f>IF(E494="","",IF(E494&lt;F494,"⚠ STOCK BAS","OK"))</f>
        <v/>
      </c>
    </row>
    <row r="495" ht="15" customHeight="1" s="59">
      <c r="I495" s="103" t="n"/>
      <c r="J495" s="91" t="n"/>
      <c r="K495" s="97">
        <f>IF(E495="","",IF(E495&lt;F495,"⚠ STOCK BAS","OK"))</f>
        <v/>
      </c>
    </row>
    <row r="496" ht="15" customHeight="1" s="59">
      <c r="I496" s="103" t="n"/>
      <c r="J496" s="91" t="n"/>
      <c r="K496" s="97">
        <f>IF(E496="","",IF(E496&lt;F496,"⚠ STOCK BAS","OK"))</f>
        <v/>
      </c>
    </row>
    <row r="497" ht="15" customHeight="1" s="59">
      <c r="I497" s="103" t="n"/>
      <c r="J497" s="91" t="n"/>
      <c r="K497" s="97">
        <f>IF(E497="","",IF(E497&lt;F497,"⚠ STOCK BAS","OK"))</f>
        <v/>
      </c>
    </row>
    <row r="498" ht="15" customHeight="1" s="59">
      <c r="I498" s="103" t="n"/>
      <c r="J498" s="91" t="n"/>
      <c r="K498" s="97">
        <f>IF(E498="","",IF(E498&lt;F498,"⚠ STOCK BAS","OK"))</f>
        <v/>
      </c>
    </row>
    <row r="499" ht="15" customHeight="1" s="59">
      <c r="I499" s="103" t="n"/>
      <c r="J499" s="91" t="n"/>
      <c r="K499" s="97">
        <f>IF(E499="","",IF(E499&lt;F499,"⚠ STOCK BAS","OK"))</f>
        <v/>
      </c>
    </row>
    <row r="500" ht="15" customHeight="1" s="59">
      <c r="I500" s="103" t="n"/>
      <c r="J500" s="91" t="n"/>
      <c r="K500" s="97">
        <f>IF(E500="","",IF(E500&lt;F500,"⚠ STOCK BAS","OK"))</f>
        <v/>
      </c>
    </row>
  </sheetData>
  <autoFilter ref="A1:L1"/>
  <conditionalFormatting sqref="A2:L500">
    <cfRule type="expression" rank="0" priority="2" equalAverage="0" aboveAverage="0" dxfId="2" text="" percent="0" bottom="0">
      <formula>AND($E2&lt;&gt;"", $E2&lt;$F2)</formula>
    </cfRule>
  </conditionalFormatting>
  <dataValidations count="3">
    <dataValidation sqref="C2:C500" showDropDown="0" showInputMessage="0" showErrorMessage="0" allowBlank="1" type="list" errorStyle="stop" operator="between">
      <formula1>LISTES!$K$2:$K$11</formula1>
      <formula2>0</formula2>
    </dataValidation>
    <dataValidation sqref="H2:H500" showDropDown="0" showInputMessage="0" showErrorMessage="0" allowBlank="1" type="list" errorStyle="stop" operator="between">
      <formula1>FOURNISSEURS!$A$2:$A$200</formula1>
      <formula2>0</formula2>
    </dataValidation>
    <dataValidation sqref="D2:D500" showDropDown="0" showInputMessage="0" showErrorMessage="0" allowBlank="1" type="list" errorStyle="stop" operator="between">
      <formula1>EQUIPEMENTS!$A$2:$A$500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1A5276"/>
    <outlinePr summaryBelow="1" summaryRight="1"/>
    <pageSetUpPr fitToPage="0"/>
  </sheetPr>
  <dimension ref="B1:E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58" min="1" max="1"/>
    <col width="35" customWidth="1" style="58" min="2" max="2"/>
    <col width="22" customWidth="1" style="58" min="3" max="3"/>
    <col width="35" customWidth="1" style="58" min="4" max="4"/>
    <col width="22" customWidth="1" style="58" min="5" max="5"/>
  </cols>
  <sheetData>
    <row r="1" ht="36" customHeight="1" s="59">
      <c r="B1" s="104" t="inlineStr">
        <is>
          <t>📊  BILANS GMAO – Tableaux de bord</t>
        </is>
      </c>
    </row>
    <row r="3" ht="24" customHeight="1" s="59">
      <c r="B3" s="105" t="inlineStr">
        <is>
          <t>🔧 PARC ÉQUIPEMENTS</t>
        </is>
      </c>
      <c r="C3" s="82" t="n"/>
      <c r="D3" s="106" t="inlineStr">
        <is>
          <t>👷 CHARGE PAR TECHNICIEN</t>
        </is>
      </c>
      <c r="E3" s="82" t="n"/>
    </row>
    <row r="4" ht="19.5" customHeight="1" s="59">
      <c r="B4" s="107" t="inlineStr">
        <is>
          <t>Total équipements</t>
        </is>
      </c>
      <c r="C4" s="108">
        <f>COUNTA(EQUIPEMENTS!A:A)-1</f>
        <v/>
      </c>
      <c r="D4" s="109" t="inlineStr">
        <is>
          <t>Technicien</t>
        </is>
      </c>
      <c r="E4" s="109" t="inlineStr">
        <is>
          <t>Nb interventions totales</t>
        </is>
      </c>
    </row>
    <row r="5" ht="19.5" customHeight="1" s="59">
      <c r="B5" s="107" t="inlineStr">
        <is>
          <t>Équipements en service</t>
        </is>
      </c>
      <c r="C5" s="108">
        <f>COUNTIF(EQUIPEMENTS!M:M,"En service")</f>
        <v/>
      </c>
      <c r="D5" s="110">
        <f>IFERROR(TECHNICIENS!A2,"")</f>
        <v/>
      </c>
      <c r="E5" s="108">
        <f>IF(D5="","",COUNTIF(INTERVENTIONS!H:H,D5))</f>
        <v/>
      </c>
    </row>
    <row r="6" ht="19.5" customHeight="1" s="59">
      <c r="B6" s="107" t="inlineStr">
        <is>
          <t>Équipements en panne</t>
        </is>
      </c>
      <c r="C6" s="108">
        <f>COUNTIF(EQUIPEMENTS!M:M,"En panne")</f>
        <v/>
      </c>
      <c r="D6" s="110">
        <f>IFERROR(TECHNICIENS!A3,"")</f>
        <v/>
      </c>
      <c r="E6" s="108">
        <f>IF(D6="","",COUNTIF(INTERVENTIONS!H:H,D6))</f>
        <v/>
      </c>
    </row>
    <row r="7" ht="19.5" customHeight="1" s="59">
      <c r="B7" s="107" t="inlineStr">
        <is>
          <t>Équipements critiques en panne</t>
        </is>
      </c>
      <c r="C7" s="108">
        <f>COUNTIFS(EQUIPEMENTS!M:M,"En panne",EQUIPEMENTS!D:D,"Haute")</f>
        <v/>
      </c>
      <c r="D7" s="110">
        <f>IFERROR(TECHNICIENS!A4,"")</f>
        <v/>
      </c>
      <c r="E7" s="108">
        <f>IF(D7="","",COUNTIF(INTERVENTIONS!H:H,D7))</f>
        <v/>
      </c>
    </row>
    <row r="8" ht="19.5" customHeight="1" s="59">
      <c r="B8" s="107" t="inlineStr">
        <is>
          <t>Criticité Haute</t>
        </is>
      </c>
      <c r="C8" s="108">
        <f>COUNTIF(EQUIPEMENTS!D:D,"Haute")</f>
        <v/>
      </c>
    </row>
    <row r="9" ht="19.5" customHeight="1" s="59">
      <c r="B9" s="107" t="inlineStr">
        <is>
          <t>Criticité Moyenne</t>
        </is>
      </c>
      <c r="C9" s="108">
        <f>COUNTIF(EQUIPEMENTS!D:D,"Moyenne")</f>
        <v/>
      </c>
    </row>
    <row r="10" ht="19.5" customHeight="1" s="59">
      <c r="B10" s="107" t="inlineStr">
        <is>
          <t>Criticité Basse</t>
        </is>
      </c>
      <c r="C10" s="108">
        <f>COUNTIF(EQUIPEMENTS!D:D,"Basse")</f>
        <v/>
      </c>
    </row>
    <row r="12" ht="24" customHeight="1" s="59">
      <c r="B12" s="111" t="inlineStr">
        <is>
          <t>📦 PACKAGES (INITIATIVE)</t>
        </is>
      </c>
      <c r="C12" s="82" t="n"/>
    </row>
    <row r="13" ht="19.5" customHeight="1" s="59">
      <c r="B13" s="107" t="inlineStr">
        <is>
          <t>Total packages</t>
        </is>
      </c>
      <c r="C13" s="108">
        <f>COUNTA(PACKAGES!A:A)-1</f>
        <v/>
      </c>
    </row>
    <row r="14" ht="19.5" customHeight="1" s="59">
      <c r="B14" s="107" t="inlineStr">
        <is>
          <t>Packages incomplets</t>
        </is>
      </c>
      <c r="C14" s="108">
        <f>COUNTIF(PACKAGES!G:G,"Incomplet")</f>
        <v/>
      </c>
    </row>
    <row r="16" ht="24" customHeight="1" s="59">
      <c r="B16" s="112" t="inlineStr">
        <is>
          <t>🔩 COMPOSANTS (INITIATIVE)</t>
        </is>
      </c>
      <c r="C16" s="82" t="n"/>
    </row>
    <row r="17" ht="19.5" customHeight="1" s="59">
      <c r="B17" s="107" t="inlineStr">
        <is>
          <t>Total composants suivis</t>
        </is>
      </c>
      <c r="C17" s="108">
        <f>COUNTA(COMPOSANTS!A:A)-1</f>
        <v/>
      </c>
    </row>
    <row r="18" ht="19.5" customHeight="1" s="59">
      <c r="B18" s="107" t="inlineStr">
        <is>
          <t>Composants défectueux</t>
        </is>
      </c>
      <c r="C18" s="108">
        <f>COUNTIF(COMPOSANTS!G:G,"Défectueux")</f>
        <v/>
      </c>
    </row>
    <row r="19" ht="19.5" customHeight="1" s="59">
      <c r="B19" s="107" t="inlineStr">
        <is>
          <t>Composants commandés</t>
        </is>
      </c>
      <c r="C19" s="108">
        <f>COUNTIF(COMPOSANTS!G:G,"Commandé")</f>
        <v/>
      </c>
    </row>
    <row r="21" ht="24" customHeight="1" s="59">
      <c r="B21" s="105" t="inlineStr">
        <is>
          <t>🗓 MAINTENANCE PRÉVENTIVE</t>
        </is>
      </c>
      <c r="C21" s="82" t="n"/>
    </row>
    <row r="22" ht="19.5" customHeight="1" s="59">
      <c r="B22" s="107" t="inlineStr">
        <is>
          <t>MP planifiées</t>
        </is>
      </c>
      <c r="C22" s="108">
        <f>COUNTIF(MAINT_PREV!G:G,"Planifiée")</f>
        <v/>
      </c>
    </row>
    <row r="23" ht="19.5" customHeight="1" s="59">
      <c r="B23" s="107" t="inlineStr">
        <is>
          <t>MP réalisées</t>
        </is>
      </c>
      <c r="C23" s="108">
        <f>COUNTIF(MAINT_PREV!G:G,"Réalisée")</f>
        <v/>
      </c>
    </row>
    <row r="24" ht="19.5" customHeight="1" s="59">
      <c r="B24" s="107" t="inlineStr">
        <is>
          <t>MP en retard</t>
        </is>
      </c>
      <c r="C24" s="108">
        <f>COUNTIFS(MAINT_PREV!G:G,"Planifiée",MAINT_PREV!E:E,"&lt;"&amp;TODAY(),MAINT_PREV!H:H,"")</f>
        <v/>
      </c>
    </row>
    <row r="25" ht="19.5" customHeight="1" s="59">
      <c r="B25" s="107" t="inlineStr">
        <is>
          <t>Taux réalisation MP (%)</t>
        </is>
      </c>
      <c r="C25" s="113">
        <f>IFERROR(COUNTIF(MAINT_PREV!G:G,"Réalisée")/COUNTA(MAINT_PREV!A:A)*100,0)</f>
        <v/>
      </c>
    </row>
    <row r="27" ht="24" customHeight="1" s="59">
      <c r="B27" s="105" t="inlineStr">
        <is>
          <t>🛠 INTERVENTIONS</t>
        </is>
      </c>
      <c r="C27" s="82" t="n"/>
    </row>
    <row r="28" ht="19.5" customHeight="1" s="59">
      <c r="B28" s="107" t="inlineStr">
        <is>
          <t>Total interventions</t>
        </is>
      </c>
      <c r="C28" s="108">
        <f>COUNTA(INTERVENTIONS!A:A)-1</f>
        <v/>
      </c>
    </row>
    <row r="29" ht="19.5" customHeight="1" s="59">
      <c r="B29" s="107" t="inlineStr">
        <is>
          <t>Interventions ouvertes</t>
        </is>
      </c>
      <c r="C29" s="108">
        <f>COUNTIF(INTERVENTIONS!L:L,"Ouverte")</f>
        <v/>
      </c>
    </row>
    <row r="30" ht="19.5" customHeight="1" s="59">
      <c r="B30" s="107" t="inlineStr">
        <is>
          <t>Interventions correctives (mois en cours)</t>
        </is>
      </c>
      <c r="C30" s="108">
        <f>COUNTIFS(INTERVENTIONS!D:D,"Corrective",INTERVENTIONS!G:G,"&gt;="&amp;DATE(YEAR(TODAY()),MONTH(TODAY()),1))</f>
        <v/>
      </c>
    </row>
    <row r="31" ht="19.5" customHeight="1" s="59">
      <c r="B31" s="107" t="inlineStr">
        <is>
          <t>Interventions &gt;14j non clôturées</t>
        </is>
      </c>
      <c r="C31" s="108">
        <f>COUNTIFS(INTERVENTIONS!L:L,"Ouverte",INTERVENTIONS!F:F,"&lt;"&amp;TODAY()-14)</f>
        <v/>
      </c>
    </row>
    <row r="33" ht="24" customHeight="1" s="59">
      <c r="B33" s="105" t="inlineStr">
        <is>
          <t>📦 STOCK PIÈCES</t>
        </is>
      </c>
      <c r="C33" s="82" t="n"/>
    </row>
    <row r="34" ht="19.5" customHeight="1" s="59">
      <c r="B34" s="107" t="inlineStr">
        <is>
          <t>Pièces sous stock minimum</t>
        </is>
      </c>
      <c r="C34" s="108">
        <f>COUNTIFS(PIECES!E:E,"&gt;"&amp;0,PIECES!E:E,"&lt;"&amp;PIECES!F2)</f>
        <v/>
      </c>
    </row>
  </sheetData>
  <mergeCells count="8">
    <mergeCell ref="B21:C21"/>
    <mergeCell ref="B1:E1"/>
    <mergeCell ref="B16:C16"/>
    <mergeCell ref="B33:C33"/>
    <mergeCell ref="B3:C3"/>
    <mergeCell ref="B27:C27"/>
    <mergeCell ref="D3:E3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K5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58" min="1" max="1"/>
    <col width="30" customWidth="1" style="58" min="2" max="2"/>
    <col width="14" customWidth="1" style="58" min="3" max="3"/>
    <col width="18" customWidth="1" style="58" min="4" max="4"/>
    <col width="16" customWidth="1" style="58" min="5" max="5"/>
    <col width="18" customWidth="1" style="58" min="6" max="6"/>
    <col width="22" customWidth="1" style="58" min="7" max="7"/>
    <col width="16" customWidth="1" style="58" min="8" max="9"/>
    <col width="18" customWidth="1" style="58" min="10" max="10"/>
    <col width="35" customWidth="1" style="58" min="11" max="11"/>
  </cols>
  <sheetData>
    <row r="1" ht="27.75" customHeight="1" s="59">
      <c r="A1" s="93" t="inlineStr">
        <is>
          <t>Code_Equipement</t>
        </is>
      </c>
      <c r="B1" s="93" t="inlineStr">
        <is>
          <t>Designation</t>
        </is>
      </c>
      <c r="C1" s="93" t="inlineStr">
        <is>
          <t>Criticite</t>
        </is>
      </c>
      <c r="D1" s="93" t="inlineStr">
        <is>
          <t>Etat</t>
        </is>
      </c>
      <c r="E1" s="93" t="inlineStr">
        <is>
          <t>Nb_MP_Retard</t>
        </is>
      </c>
      <c r="F1" s="93" t="inlineStr">
        <is>
          <t>Nb_Interv_Ouvertes</t>
        </is>
      </c>
      <c r="G1" s="83" t="inlineStr">
        <is>
          <t>Nb_Composants_Defectueux</t>
        </is>
      </c>
      <c r="H1" s="83" t="inlineStr">
        <is>
          <t>Code_Package</t>
        </is>
      </c>
      <c r="I1" s="83" t="inlineStr">
        <is>
          <t>Niveau_Alerte</t>
        </is>
      </c>
      <c r="J1" s="93" t="inlineStr">
        <is>
          <t>Technicien_Referent</t>
        </is>
      </c>
      <c r="K1" s="93" t="inlineStr">
        <is>
          <t>Observation</t>
        </is>
      </c>
    </row>
    <row r="2" ht="15" customHeight="1" s="59">
      <c r="A2" s="84">
        <f>IFERROR(EQUIPEMENTS!A2,"")</f>
        <v/>
      </c>
      <c r="B2" s="84">
        <f>IF(A2="","",IFERROR(VLOOKUP(A2,EQUIPEMENTS!A:B,2,0),""))</f>
        <v/>
      </c>
      <c r="C2" s="84">
        <f>IF(A2="","",IFERROR(VLOOKUP(A2,EQUIPEMENTS!A:D,4,0),""))</f>
        <v/>
      </c>
      <c r="D2" s="84">
        <f>IF(A2="","",IFERROR(VLOOKUP(A2,EQUIPEMENTS!A:M,13,0),""))</f>
        <v/>
      </c>
      <c r="E2" s="84">
        <f>IF(A2="","",COUNTIFS(MAINT_PREV!B:B,A2,MAINT_PREV!G:G,"Planifiée",MAINT_PREV!E:E,"&lt;"&amp;TODAY(),MAINT_PREV!H:H,""))</f>
        <v/>
      </c>
      <c r="F2" s="84">
        <f>IF(A2="","",COUNTIFS(INTERVENTIONS!B:B,A2,INTERVENTIONS!L:L,"Ouverte"))</f>
        <v/>
      </c>
      <c r="G2" s="84">
        <f>IF(A2="","",COUNTIFS(COMPOSANTS!B:B,A2,COMPOSANTS!G:G,"Défectueux"))</f>
        <v/>
      </c>
      <c r="H2" s="84">
        <f>IF(A2="","",IFERROR(VLOOKUP(A2,EQUIPEMENTS!A:R,18,0),""))</f>
        <v/>
      </c>
      <c r="I2" s="84">
        <f>IF(A2="","",IF(AND(C2="Haute",D2="En panne"),"🔴 CRITIQUE",IF(OR(E2&gt;0,F2&gt;0,G2&gt;0),"🟠 ATTENTION","🟢 OK")))</f>
        <v/>
      </c>
      <c r="J2" s="84">
        <f>IF(A2="","",IFERROR(VLOOKUP(A2,EQUIPEMENTS!A:Q,17,0),""))</f>
        <v/>
      </c>
      <c r="K2" s="84" t="n"/>
    </row>
    <row r="3" ht="15" customHeight="1" s="59">
      <c r="A3" s="87">
        <f>IFERROR(EQUIPEMENTS!A3,"")</f>
        <v/>
      </c>
      <c r="B3" s="87">
        <f>IF(A3="","",IFERROR(VLOOKUP(A3,EQUIPEMENTS!A:B,2,0),""))</f>
        <v/>
      </c>
      <c r="C3" s="87">
        <f>IF(A3="","",IFERROR(VLOOKUP(A3,EQUIPEMENTS!A:D,4,0),""))</f>
        <v/>
      </c>
      <c r="D3" s="87">
        <f>IF(A3="","",IFERROR(VLOOKUP(A3,EQUIPEMENTS!A:M,13,0),""))</f>
        <v/>
      </c>
      <c r="E3" s="87">
        <f>IF(A3="","",COUNTIFS(MAINT_PREV!B:B,A3,MAINT_PREV!G:G,"Planifiée",MAINT_PREV!E:E,"&lt;"&amp;TODAY(),MAINT_PREV!H:H,""))</f>
        <v/>
      </c>
      <c r="F3" s="87">
        <f>IF(A3="","",COUNTIFS(INTERVENTIONS!B:B,A3,INTERVENTIONS!L:L,"Ouverte"))</f>
        <v/>
      </c>
      <c r="G3" s="87">
        <f>IF(A3="","",COUNTIFS(COMPOSANTS!B:B,A3,COMPOSANTS!G:G,"Défectueux"))</f>
        <v/>
      </c>
      <c r="H3" s="87">
        <f>IF(A3="","",IFERROR(VLOOKUP(A3,EQUIPEMENTS!A:R,18,0),""))</f>
        <v/>
      </c>
      <c r="I3" s="87">
        <f>IF(A3="","",IF(AND(C3="Haute",D3="En panne"),"🔴 CRITIQUE",IF(OR(E3&gt;0,F3&gt;0,G3&gt;0),"🟠 ATTENTION","🟢 OK")))</f>
        <v/>
      </c>
      <c r="J3" s="87">
        <f>IF(A3="","",IFERROR(VLOOKUP(A3,EQUIPEMENTS!A:Q,17,0),""))</f>
        <v/>
      </c>
      <c r="K3" s="87" t="n"/>
    </row>
    <row r="4" ht="15" customHeight="1" s="59">
      <c r="A4" s="84">
        <f>IFERROR(EQUIPEMENTS!A4,"")</f>
        <v/>
      </c>
      <c r="B4" s="84">
        <f>IF(A4="","",IFERROR(VLOOKUP(A4,EQUIPEMENTS!A:B,2,0),""))</f>
        <v/>
      </c>
      <c r="C4" s="84">
        <f>IF(A4="","",IFERROR(VLOOKUP(A4,EQUIPEMENTS!A:D,4,0),""))</f>
        <v/>
      </c>
      <c r="D4" s="84">
        <f>IF(A4="","",IFERROR(VLOOKUP(A4,EQUIPEMENTS!A:M,13,0),""))</f>
        <v/>
      </c>
      <c r="E4" s="84">
        <f>IF(A4="","",COUNTIFS(MAINT_PREV!B:B,A4,MAINT_PREV!G:G,"Planifiée",MAINT_PREV!E:E,"&lt;"&amp;TODAY(),MAINT_PREV!H:H,""))</f>
        <v/>
      </c>
      <c r="F4" s="84">
        <f>IF(A4="","",COUNTIFS(INTERVENTIONS!B:B,A4,INTERVENTIONS!L:L,"Ouverte"))</f>
        <v/>
      </c>
      <c r="G4" s="84">
        <f>IF(A4="","",COUNTIFS(COMPOSANTS!B:B,A4,COMPOSANTS!G:G,"Défectueux"))</f>
        <v/>
      </c>
      <c r="H4" s="84">
        <f>IF(A4="","",IFERROR(VLOOKUP(A4,EQUIPEMENTS!A:R,18,0),""))</f>
        <v/>
      </c>
      <c r="I4" s="84">
        <f>IF(A4="","",IF(AND(C4="Haute",D4="En panne"),"🔴 CRITIQUE",IF(OR(E4&gt;0,F4&gt;0,G4&gt;0),"🟠 ATTENTION","🟢 OK")))</f>
        <v/>
      </c>
      <c r="J4" s="84">
        <f>IF(A4="","",IFERROR(VLOOKUP(A4,EQUIPEMENTS!A:Q,17,0),""))</f>
        <v/>
      </c>
      <c r="K4" s="84" t="n"/>
    </row>
    <row r="5" ht="15" customHeight="1" s="59">
      <c r="A5" s="87">
        <f>IFERROR(EQUIPEMENTS!A5,"")</f>
        <v/>
      </c>
      <c r="B5" s="87">
        <f>IF(A5="","",IFERROR(VLOOKUP(A5,EQUIPEMENTS!A:B,2,0),""))</f>
        <v/>
      </c>
      <c r="C5" s="87">
        <f>IF(A5="","",IFERROR(VLOOKUP(A5,EQUIPEMENTS!A:D,4,0),""))</f>
        <v/>
      </c>
      <c r="D5" s="87">
        <f>IF(A5="","",IFERROR(VLOOKUP(A5,EQUIPEMENTS!A:M,13,0),""))</f>
        <v/>
      </c>
      <c r="E5" s="87">
        <f>IF(A5="","",COUNTIFS(MAINT_PREV!B:B,A5,MAINT_PREV!G:G,"Planifiée",MAINT_PREV!E:E,"&lt;"&amp;TODAY(),MAINT_PREV!H:H,""))</f>
        <v/>
      </c>
      <c r="F5" s="87">
        <f>IF(A5="","",COUNTIFS(INTERVENTIONS!B:B,A5,INTERVENTIONS!L:L,"Ouverte"))</f>
        <v/>
      </c>
      <c r="G5" s="87">
        <f>IF(A5="","",COUNTIFS(COMPOSANTS!B:B,A5,COMPOSANTS!G:G,"Défectueux"))</f>
        <v/>
      </c>
      <c r="H5" s="87">
        <f>IF(A5="","",IFERROR(VLOOKUP(A5,EQUIPEMENTS!A:R,18,0),""))</f>
        <v/>
      </c>
      <c r="I5" s="87">
        <f>IF(A5="","",IF(AND(C5="Haute",D5="En panne"),"🔴 CRITIQUE",IF(OR(E5&gt;0,F5&gt;0,G5&gt;0),"🟠 ATTENTION","🟢 OK")))</f>
        <v/>
      </c>
      <c r="J5" s="87">
        <f>IF(A5="","",IFERROR(VLOOKUP(A5,EQUIPEMENTS!A:Q,17,0),""))</f>
        <v/>
      </c>
      <c r="K5" s="87" t="n"/>
    </row>
    <row r="6" ht="15" customHeight="1" s="59">
      <c r="A6" s="84">
        <f>IFERROR(EQUIPEMENTS!A6,"")</f>
        <v/>
      </c>
      <c r="B6" s="84">
        <f>IF(A6="","",IFERROR(VLOOKUP(A6,EQUIPEMENTS!A:B,2,0),""))</f>
        <v/>
      </c>
      <c r="C6" s="84">
        <f>IF(A6="","",IFERROR(VLOOKUP(A6,EQUIPEMENTS!A:D,4,0),""))</f>
        <v/>
      </c>
      <c r="D6" s="84">
        <f>IF(A6="","",IFERROR(VLOOKUP(A6,EQUIPEMENTS!A:M,13,0),""))</f>
        <v/>
      </c>
      <c r="E6" s="84">
        <f>IF(A6="","",COUNTIFS(MAINT_PREV!B:B,A6,MAINT_PREV!G:G,"Planifiée",MAINT_PREV!E:E,"&lt;"&amp;TODAY(),MAINT_PREV!H:H,""))</f>
        <v/>
      </c>
      <c r="F6" s="84">
        <f>IF(A6="","",COUNTIFS(INTERVENTIONS!B:B,A6,INTERVENTIONS!L:L,"Ouverte"))</f>
        <v/>
      </c>
      <c r="G6" s="84">
        <f>IF(A6="","",COUNTIFS(COMPOSANTS!B:B,A6,COMPOSANTS!G:G,"Défectueux"))</f>
        <v/>
      </c>
      <c r="H6" s="84">
        <f>IF(A6="","",IFERROR(VLOOKUP(A6,EQUIPEMENTS!A:R,18,0),""))</f>
        <v/>
      </c>
      <c r="I6" s="84">
        <f>IF(A6="","",IF(AND(C6="Haute",D6="En panne"),"🔴 CRITIQUE",IF(OR(E6&gt;0,F6&gt;0,G6&gt;0),"🟠 ATTENTION","🟢 OK")))</f>
        <v/>
      </c>
      <c r="J6" s="84">
        <f>IF(A6="","",IFERROR(VLOOKUP(A6,EQUIPEMENTS!A:Q,17,0),""))</f>
        <v/>
      </c>
      <c r="K6" s="84" t="n"/>
    </row>
    <row r="7" ht="15" customHeight="1" s="59">
      <c r="A7" s="87">
        <f>IFERROR(EQUIPEMENTS!A7,"")</f>
        <v/>
      </c>
      <c r="B7" s="87">
        <f>IF(A7="","",IFERROR(VLOOKUP(A7,EQUIPEMENTS!A:B,2,0),""))</f>
        <v/>
      </c>
      <c r="C7" s="87">
        <f>IF(A7="","",IFERROR(VLOOKUP(A7,EQUIPEMENTS!A:D,4,0),""))</f>
        <v/>
      </c>
      <c r="D7" s="87">
        <f>IF(A7="","",IFERROR(VLOOKUP(A7,EQUIPEMENTS!A:M,13,0),""))</f>
        <v/>
      </c>
      <c r="E7" s="87">
        <f>IF(A7="","",COUNTIFS(MAINT_PREV!B:B,A7,MAINT_PREV!G:G,"Planifiée",MAINT_PREV!E:E,"&lt;"&amp;TODAY(),MAINT_PREV!H:H,""))</f>
        <v/>
      </c>
      <c r="F7" s="87">
        <f>IF(A7="","",COUNTIFS(INTERVENTIONS!B:B,A7,INTERVENTIONS!L:L,"Ouverte"))</f>
        <v/>
      </c>
      <c r="G7" s="87">
        <f>IF(A7="","",COUNTIFS(COMPOSANTS!B:B,A7,COMPOSANTS!G:G,"Défectueux"))</f>
        <v/>
      </c>
      <c r="H7" s="87">
        <f>IF(A7="","",IFERROR(VLOOKUP(A7,EQUIPEMENTS!A:R,18,0),""))</f>
        <v/>
      </c>
      <c r="I7" s="87">
        <f>IF(A7="","",IF(AND(C7="Haute",D7="En panne"),"🔴 CRITIQUE",IF(OR(E7&gt;0,F7&gt;0,G7&gt;0),"🟠 ATTENTION","🟢 OK")))</f>
        <v/>
      </c>
      <c r="J7" s="87">
        <f>IF(A7="","",IFERROR(VLOOKUP(A7,EQUIPEMENTS!A:Q,17,0),""))</f>
        <v/>
      </c>
      <c r="K7" s="87" t="n"/>
    </row>
    <row r="8" ht="15" customHeight="1" s="59">
      <c r="A8" s="84">
        <f>IFERROR(EQUIPEMENTS!A8,"")</f>
        <v/>
      </c>
      <c r="B8" s="84">
        <f>IF(A8="","",IFERROR(VLOOKUP(A8,EQUIPEMENTS!A:B,2,0),""))</f>
        <v/>
      </c>
      <c r="C8" s="84">
        <f>IF(A8="","",IFERROR(VLOOKUP(A8,EQUIPEMENTS!A:D,4,0),""))</f>
        <v/>
      </c>
      <c r="D8" s="84">
        <f>IF(A8="","",IFERROR(VLOOKUP(A8,EQUIPEMENTS!A:M,13,0),""))</f>
        <v/>
      </c>
      <c r="E8" s="84">
        <f>IF(A8="","",COUNTIFS(MAINT_PREV!B:B,A8,MAINT_PREV!G:G,"Planifiée",MAINT_PREV!E:E,"&lt;"&amp;TODAY(),MAINT_PREV!H:H,""))</f>
        <v/>
      </c>
      <c r="F8" s="84">
        <f>IF(A8="","",COUNTIFS(INTERVENTIONS!B:B,A8,INTERVENTIONS!L:L,"Ouverte"))</f>
        <v/>
      </c>
      <c r="G8" s="84">
        <f>IF(A8="","",COUNTIFS(COMPOSANTS!B:B,A8,COMPOSANTS!G:G,"Défectueux"))</f>
        <v/>
      </c>
      <c r="H8" s="84">
        <f>IF(A8="","",IFERROR(VLOOKUP(A8,EQUIPEMENTS!A:R,18,0),""))</f>
        <v/>
      </c>
      <c r="I8" s="84">
        <f>IF(A8="","",IF(AND(C8="Haute",D8="En panne"),"🔴 CRITIQUE",IF(OR(E8&gt;0,F8&gt;0,G8&gt;0),"🟠 ATTENTION","🟢 OK")))</f>
        <v/>
      </c>
      <c r="J8" s="84">
        <f>IF(A8="","",IFERROR(VLOOKUP(A8,EQUIPEMENTS!A:Q,17,0),""))</f>
        <v/>
      </c>
      <c r="K8" s="84" t="n"/>
    </row>
    <row r="9" ht="15" customHeight="1" s="59">
      <c r="A9" s="87">
        <f>IFERROR(EQUIPEMENTS!A9,"")</f>
        <v/>
      </c>
      <c r="B9" s="87">
        <f>IF(A9="","",IFERROR(VLOOKUP(A9,EQUIPEMENTS!A:B,2,0),""))</f>
        <v/>
      </c>
      <c r="C9" s="87">
        <f>IF(A9="","",IFERROR(VLOOKUP(A9,EQUIPEMENTS!A:D,4,0),""))</f>
        <v/>
      </c>
      <c r="D9" s="87">
        <f>IF(A9="","",IFERROR(VLOOKUP(A9,EQUIPEMENTS!A:M,13,0),""))</f>
        <v/>
      </c>
      <c r="E9" s="87">
        <f>IF(A9="","",COUNTIFS(MAINT_PREV!B:B,A9,MAINT_PREV!G:G,"Planifiée",MAINT_PREV!E:E,"&lt;"&amp;TODAY(),MAINT_PREV!H:H,""))</f>
        <v/>
      </c>
      <c r="F9" s="87">
        <f>IF(A9="","",COUNTIFS(INTERVENTIONS!B:B,A9,INTERVENTIONS!L:L,"Ouverte"))</f>
        <v/>
      </c>
      <c r="G9" s="87">
        <f>IF(A9="","",COUNTIFS(COMPOSANTS!B:B,A9,COMPOSANTS!G:G,"Défectueux"))</f>
        <v/>
      </c>
      <c r="H9" s="87">
        <f>IF(A9="","",IFERROR(VLOOKUP(A9,EQUIPEMENTS!A:R,18,0),""))</f>
        <v/>
      </c>
      <c r="I9" s="87">
        <f>IF(A9="","",IF(AND(C9="Haute",D9="En panne"),"🔴 CRITIQUE",IF(OR(E9&gt;0,F9&gt;0,G9&gt;0),"🟠 ATTENTION","🟢 OK")))</f>
        <v/>
      </c>
      <c r="J9" s="87">
        <f>IF(A9="","",IFERROR(VLOOKUP(A9,EQUIPEMENTS!A:Q,17,0),""))</f>
        <v/>
      </c>
      <c r="K9" s="87" t="n"/>
    </row>
    <row r="10" ht="15" customHeight="1" s="59">
      <c r="A10" s="84">
        <f>IFERROR(EQUIPEMENTS!A10,"")</f>
        <v/>
      </c>
      <c r="B10" s="84">
        <f>IF(A10="","",IFERROR(VLOOKUP(A10,EQUIPEMENTS!A:B,2,0),""))</f>
        <v/>
      </c>
      <c r="C10" s="84">
        <f>IF(A10="","",IFERROR(VLOOKUP(A10,EQUIPEMENTS!A:D,4,0),""))</f>
        <v/>
      </c>
      <c r="D10" s="84">
        <f>IF(A10="","",IFERROR(VLOOKUP(A10,EQUIPEMENTS!A:M,13,0),""))</f>
        <v/>
      </c>
      <c r="E10" s="84">
        <f>IF(A10="","",COUNTIFS(MAINT_PREV!B:B,A10,MAINT_PREV!G:G,"Planifiée",MAINT_PREV!E:E,"&lt;"&amp;TODAY(),MAINT_PREV!H:H,""))</f>
        <v/>
      </c>
      <c r="F10" s="84">
        <f>IF(A10="","",COUNTIFS(INTERVENTIONS!B:B,A10,INTERVENTIONS!L:L,"Ouverte"))</f>
        <v/>
      </c>
      <c r="G10" s="84">
        <f>IF(A10="","",COUNTIFS(COMPOSANTS!B:B,A10,COMPOSANTS!G:G,"Défectueux"))</f>
        <v/>
      </c>
      <c r="H10" s="84">
        <f>IF(A10="","",IFERROR(VLOOKUP(A10,EQUIPEMENTS!A:R,18,0),""))</f>
        <v/>
      </c>
      <c r="I10" s="84">
        <f>IF(A10="","",IF(AND(C10="Haute",D10="En panne"),"🔴 CRITIQUE",IF(OR(E10&gt;0,F10&gt;0,G10&gt;0),"🟠 ATTENTION","🟢 OK")))</f>
        <v/>
      </c>
      <c r="J10" s="84">
        <f>IF(A10="","",IFERROR(VLOOKUP(A10,EQUIPEMENTS!A:Q,17,0),""))</f>
        <v/>
      </c>
      <c r="K10" s="84" t="n"/>
    </row>
    <row r="11" ht="15" customHeight="1" s="59">
      <c r="A11" s="87">
        <f>IFERROR(EQUIPEMENTS!A11,"")</f>
        <v/>
      </c>
      <c r="B11" s="87">
        <f>IF(A11="","",IFERROR(VLOOKUP(A11,EQUIPEMENTS!A:B,2,0),""))</f>
        <v/>
      </c>
      <c r="C11" s="87">
        <f>IF(A11="","",IFERROR(VLOOKUP(A11,EQUIPEMENTS!A:D,4,0),""))</f>
        <v/>
      </c>
      <c r="D11" s="87">
        <f>IF(A11="","",IFERROR(VLOOKUP(A11,EQUIPEMENTS!A:M,13,0),""))</f>
        <v/>
      </c>
      <c r="E11" s="87">
        <f>IF(A11="","",COUNTIFS(MAINT_PREV!B:B,A11,MAINT_PREV!G:G,"Planifiée",MAINT_PREV!E:E,"&lt;"&amp;TODAY(),MAINT_PREV!H:H,""))</f>
        <v/>
      </c>
      <c r="F11" s="87">
        <f>IF(A11="","",COUNTIFS(INTERVENTIONS!B:B,A11,INTERVENTIONS!L:L,"Ouverte"))</f>
        <v/>
      </c>
      <c r="G11" s="87">
        <f>IF(A11="","",COUNTIFS(COMPOSANTS!B:B,A11,COMPOSANTS!G:G,"Défectueux"))</f>
        <v/>
      </c>
      <c r="H11" s="87">
        <f>IF(A11="","",IFERROR(VLOOKUP(A11,EQUIPEMENTS!A:R,18,0),""))</f>
        <v/>
      </c>
      <c r="I11" s="87">
        <f>IF(A11="","",IF(AND(C11="Haute",D11="En panne"),"🔴 CRITIQUE",IF(OR(E11&gt;0,F11&gt;0,G11&gt;0),"🟠 ATTENTION","🟢 OK")))</f>
        <v/>
      </c>
      <c r="J11" s="87">
        <f>IF(A11="","",IFERROR(VLOOKUP(A11,EQUIPEMENTS!A:Q,17,0),""))</f>
        <v/>
      </c>
      <c r="K11" s="87" t="n"/>
    </row>
    <row r="12" ht="15" customHeight="1" s="59">
      <c r="A12" s="84">
        <f>IFERROR(EQUIPEMENTS!A12,"")</f>
        <v/>
      </c>
      <c r="B12" s="84">
        <f>IF(A12="","",IFERROR(VLOOKUP(A12,EQUIPEMENTS!A:B,2,0),""))</f>
        <v/>
      </c>
      <c r="C12" s="84">
        <f>IF(A12="","",IFERROR(VLOOKUP(A12,EQUIPEMENTS!A:D,4,0),""))</f>
        <v/>
      </c>
      <c r="D12" s="84">
        <f>IF(A12="","",IFERROR(VLOOKUP(A12,EQUIPEMENTS!A:M,13,0),""))</f>
        <v/>
      </c>
      <c r="E12" s="84">
        <f>IF(A12="","",COUNTIFS(MAINT_PREV!B:B,A12,MAINT_PREV!G:G,"Planifiée",MAINT_PREV!E:E,"&lt;"&amp;TODAY(),MAINT_PREV!H:H,""))</f>
        <v/>
      </c>
      <c r="F12" s="84">
        <f>IF(A12="","",COUNTIFS(INTERVENTIONS!B:B,A12,INTERVENTIONS!L:L,"Ouverte"))</f>
        <v/>
      </c>
      <c r="G12" s="84">
        <f>IF(A12="","",COUNTIFS(COMPOSANTS!B:B,A12,COMPOSANTS!G:G,"Défectueux"))</f>
        <v/>
      </c>
      <c r="H12" s="84">
        <f>IF(A12="","",IFERROR(VLOOKUP(A12,EQUIPEMENTS!A:R,18,0),""))</f>
        <v/>
      </c>
      <c r="I12" s="84">
        <f>IF(A12="","",IF(AND(C12="Haute",D12="En panne"),"🔴 CRITIQUE",IF(OR(E12&gt;0,F12&gt;0,G12&gt;0),"🟠 ATTENTION","🟢 OK")))</f>
        <v/>
      </c>
      <c r="J12" s="84">
        <f>IF(A12="","",IFERROR(VLOOKUP(A12,EQUIPEMENTS!A:Q,17,0),""))</f>
        <v/>
      </c>
      <c r="K12" s="84" t="n"/>
    </row>
    <row r="13" ht="15" customHeight="1" s="59">
      <c r="A13" s="87">
        <f>IFERROR(EQUIPEMENTS!A13,"")</f>
        <v/>
      </c>
      <c r="B13" s="87">
        <f>IF(A13="","",IFERROR(VLOOKUP(A13,EQUIPEMENTS!A:B,2,0),""))</f>
        <v/>
      </c>
      <c r="C13" s="87">
        <f>IF(A13="","",IFERROR(VLOOKUP(A13,EQUIPEMENTS!A:D,4,0),""))</f>
        <v/>
      </c>
      <c r="D13" s="87">
        <f>IF(A13="","",IFERROR(VLOOKUP(A13,EQUIPEMENTS!A:M,13,0),""))</f>
        <v/>
      </c>
      <c r="E13" s="87">
        <f>IF(A13="","",COUNTIFS(MAINT_PREV!B:B,A13,MAINT_PREV!G:G,"Planifiée",MAINT_PREV!E:E,"&lt;"&amp;TODAY(),MAINT_PREV!H:H,""))</f>
        <v/>
      </c>
      <c r="F13" s="87">
        <f>IF(A13="","",COUNTIFS(INTERVENTIONS!B:B,A13,INTERVENTIONS!L:L,"Ouverte"))</f>
        <v/>
      </c>
      <c r="G13" s="87">
        <f>IF(A13="","",COUNTIFS(COMPOSANTS!B:B,A13,COMPOSANTS!G:G,"Défectueux"))</f>
        <v/>
      </c>
      <c r="H13" s="87">
        <f>IF(A13="","",IFERROR(VLOOKUP(A13,EQUIPEMENTS!A:R,18,0),""))</f>
        <v/>
      </c>
      <c r="I13" s="87">
        <f>IF(A13="","",IF(AND(C13="Haute",D13="En panne"),"🔴 CRITIQUE",IF(OR(E13&gt;0,F13&gt;0,G13&gt;0),"🟠 ATTENTION","🟢 OK")))</f>
        <v/>
      </c>
      <c r="J13" s="87">
        <f>IF(A13="","",IFERROR(VLOOKUP(A13,EQUIPEMENTS!A:Q,17,0),""))</f>
        <v/>
      </c>
      <c r="K13" s="87" t="n"/>
    </row>
    <row r="14" ht="15" customHeight="1" s="59">
      <c r="A14" s="84">
        <f>IFERROR(EQUIPEMENTS!A14,"")</f>
        <v/>
      </c>
      <c r="B14" s="84">
        <f>IF(A14="","",IFERROR(VLOOKUP(A14,EQUIPEMENTS!A:B,2,0),""))</f>
        <v/>
      </c>
      <c r="C14" s="84">
        <f>IF(A14="","",IFERROR(VLOOKUP(A14,EQUIPEMENTS!A:D,4,0),""))</f>
        <v/>
      </c>
      <c r="D14" s="84">
        <f>IF(A14="","",IFERROR(VLOOKUP(A14,EQUIPEMENTS!A:M,13,0),""))</f>
        <v/>
      </c>
      <c r="E14" s="84">
        <f>IF(A14="","",COUNTIFS(MAINT_PREV!B:B,A14,MAINT_PREV!G:G,"Planifiée",MAINT_PREV!E:E,"&lt;"&amp;TODAY(),MAINT_PREV!H:H,""))</f>
        <v/>
      </c>
      <c r="F14" s="84">
        <f>IF(A14="","",COUNTIFS(INTERVENTIONS!B:B,A14,INTERVENTIONS!L:L,"Ouverte"))</f>
        <v/>
      </c>
      <c r="G14" s="84">
        <f>IF(A14="","",COUNTIFS(COMPOSANTS!B:B,A14,COMPOSANTS!G:G,"Défectueux"))</f>
        <v/>
      </c>
      <c r="H14" s="84">
        <f>IF(A14="","",IFERROR(VLOOKUP(A14,EQUIPEMENTS!A:R,18,0),""))</f>
        <v/>
      </c>
      <c r="I14" s="84">
        <f>IF(A14="","",IF(AND(C14="Haute",D14="En panne"),"🔴 CRITIQUE",IF(OR(E14&gt;0,F14&gt;0,G14&gt;0),"🟠 ATTENTION","🟢 OK")))</f>
        <v/>
      </c>
      <c r="J14" s="84">
        <f>IF(A14="","",IFERROR(VLOOKUP(A14,EQUIPEMENTS!A:Q,17,0),""))</f>
        <v/>
      </c>
      <c r="K14" s="84" t="n"/>
    </row>
    <row r="15" ht="15" customHeight="1" s="59">
      <c r="A15" s="87">
        <f>IFERROR(EQUIPEMENTS!A15,"")</f>
        <v/>
      </c>
      <c r="B15" s="87">
        <f>IF(A15="","",IFERROR(VLOOKUP(A15,EQUIPEMENTS!A:B,2,0),""))</f>
        <v/>
      </c>
      <c r="C15" s="87">
        <f>IF(A15="","",IFERROR(VLOOKUP(A15,EQUIPEMENTS!A:D,4,0),""))</f>
        <v/>
      </c>
      <c r="D15" s="87">
        <f>IF(A15="","",IFERROR(VLOOKUP(A15,EQUIPEMENTS!A:M,13,0),""))</f>
        <v/>
      </c>
      <c r="E15" s="87">
        <f>IF(A15="","",COUNTIFS(MAINT_PREV!B:B,A15,MAINT_PREV!G:G,"Planifiée",MAINT_PREV!E:E,"&lt;"&amp;TODAY(),MAINT_PREV!H:H,""))</f>
        <v/>
      </c>
      <c r="F15" s="87">
        <f>IF(A15="","",COUNTIFS(INTERVENTIONS!B:B,A15,INTERVENTIONS!L:L,"Ouverte"))</f>
        <v/>
      </c>
      <c r="G15" s="87">
        <f>IF(A15="","",COUNTIFS(COMPOSANTS!B:B,A15,COMPOSANTS!G:G,"Défectueux"))</f>
        <v/>
      </c>
      <c r="H15" s="87">
        <f>IF(A15="","",IFERROR(VLOOKUP(A15,EQUIPEMENTS!A:R,18,0),""))</f>
        <v/>
      </c>
      <c r="I15" s="87">
        <f>IF(A15="","",IF(AND(C15="Haute",D15="En panne"),"🔴 CRITIQUE",IF(OR(E15&gt;0,F15&gt;0,G15&gt;0),"🟠 ATTENTION","🟢 OK")))</f>
        <v/>
      </c>
      <c r="J15" s="87">
        <f>IF(A15="","",IFERROR(VLOOKUP(A15,EQUIPEMENTS!A:Q,17,0),""))</f>
        <v/>
      </c>
      <c r="K15" s="87" t="n"/>
    </row>
    <row r="16" ht="15" customHeight="1" s="59">
      <c r="A16" s="84">
        <f>IFERROR(EQUIPEMENTS!A16,"")</f>
        <v/>
      </c>
      <c r="B16" s="84">
        <f>IF(A16="","",IFERROR(VLOOKUP(A16,EQUIPEMENTS!A:B,2,0),""))</f>
        <v/>
      </c>
      <c r="C16" s="84">
        <f>IF(A16="","",IFERROR(VLOOKUP(A16,EQUIPEMENTS!A:D,4,0),""))</f>
        <v/>
      </c>
      <c r="D16" s="84">
        <f>IF(A16="","",IFERROR(VLOOKUP(A16,EQUIPEMENTS!A:M,13,0),""))</f>
        <v/>
      </c>
      <c r="E16" s="84">
        <f>IF(A16="","",COUNTIFS(MAINT_PREV!B:B,A16,MAINT_PREV!G:G,"Planifiée",MAINT_PREV!E:E,"&lt;"&amp;TODAY(),MAINT_PREV!H:H,""))</f>
        <v/>
      </c>
      <c r="F16" s="84">
        <f>IF(A16="","",COUNTIFS(INTERVENTIONS!B:B,A16,INTERVENTIONS!L:L,"Ouverte"))</f>
        <v/>
      </c>
      <c r="G16" s="84">
        <f>IF(A16="","",COUNTIFS(COMPOSANTS!B:B,A16,COMPOSANTS!G:G,"Défectueux"))</f>
        <v/>
      </c>
      <c r="H16" s="84">
        <f>IF(A16="","",IFERROR(VLOOKUP(A16,EQUIPEMENTS!A:R,18,0),""))</f>
        <v/>
      </c>
      <c r="I16" s="84">
        <f>IF(A16="","",IF(AND(C16="Haute",D16="En panne"),"🔴 CRITIQUE",IF(OR(E16&gt;0,F16&gt;0,G16&gt;0),"🟠 ATTENTION","🟢 OK")))</f>
        <v/>
      </c>
      <c r="J16" s="84">
        <f>IF(A16="","",IFERROR(VLOOKUP(A16,EQUIPEMENTS!A:Q,17,0),""))</f>
        <v/>
      </c>
      <c r="K16" s="84" t="n"/>
    </row>
    <row r="17" ht="15" customHeight="1" s="59">
      <c r="A17" s="87">
        <f>IFERROR(EQUIPEMENTS!A17,"")</f>
        <v/>
      </c>
      <c r="B17" s="87">
        <f>IF(A17="","",IFERROR(VLOOKUP(A17,EQUIPEMENTS!A:B,2,0),""))</f>
        <v/>
      </c>
      <c r="C17" s="87">
        <f>IF(A17="","",IFERROR(VLOOKUP(A17,EQUIPEMENTS!A:D,4,0),""))</f>
        <v/>
      </c>
      <c r="D17" s="87">
        <f>IF(A17="","",IFERROR(VLOOKUP(A17,EQUIPEMENTS!A:M,13,0),""))</f>
        <v/>
      </c>
      <c r="E17" s="87">
        <f>IF(A17="","",COUNTIFS(MAINT_PREV!B:B,A17,MAINT_PREV!G:G,"Planifiée",MAINT_PREV!E:E,"&lt;"&amp;TODAY(),MAINT_PREV!H:H,""))</f>
        <v/>
      </c>
      <c r="F17" s="87">
        <f>IF(A17="","",COUNTIFS(INTERVENTIONS!B:B,A17,INTERVENTIONS!L:L,"Ouverte"))</f>
        <v/>
      </c>
      <c r="G17" s="87">
        <f>IF(A17="","",COUNTIFS(COMPOSANTS!B:B,A17,COMPOSANTS!G:G,"Défectueux"))</f>
        <v/>
      </c>
      <c r="H17" s="87">
        <f>IF(A17="","",IFERROR(VLOOKUP(A17,EQUIPEMENTS!A:R,18,0),""))</f>
        <v/>
      </c>
      <c r="I17" s="87">
        <f>IF(A17="","",IF(AND(C17="Haute",D17="En panne"),"🔴 CRITIQUE",IF(OR(E17&gt;0,F17&gt;0,G17&gt;0),"🟠 ATTENTION","🟢 OK")))</f>
        <v/>
      </c>
      <c r="J17" s="87">
        <f>IF(A17="","",IFERROR(VLOOKUP(A17,EQUIPEMENTS!A:Q,17,0),""))</f>
        <v/>
      </c>
      <c r="K17" s="87" t="n"/>
    </row>
    <row r="18" ht="15" customHeight="1" s="59">
      <c r="A18" s="84">
        <f>IFERROR(EQUIPEMENTS!A18,"")</f>
        <v/>
      </c>
      <c r="B18" s="84">
        <f>IF(A18="","",IFERROR(VLOOKUP(A18,EQUIPEMENTS!A:B,2,0),""))</f>
        <v/>
      </c>
      <c r="C18" s="84">
        <f>IF(A18="","",IFERROR(VLOOKUP(A18,EQUIPEMENTS!A:D,4,0),""))</f>
        <v/>
      </c>
      <c r="D18" s="84">
        <f>IF(A18="","",IFERROR(VLOOKUP(A18,EQUIPEMENTS!A:M,13,0),""))</f>
        <v/>
      </c>
      <c r="E18" s="84">
        <f>IF(A18="","",COUNTIFS(MAINT_PREV!B:B,A18,MAINT_PREV!G:G,"Planifiée",MAINT_PREV!E:E,"&lt;"&amp;TODAY(),MAINT_PREV!H:H,""))</f>
        <v/>
      </c>
      <c r="F18" s="84">
        <f>IF(A18="","",COUNTIFS(INTERVENTIONS!B:B,A18,INTERVENTIONS!L:L,"Ouverte"))</f>
        <v/>
      </c>
      <c r="G18" s="84">
        <f>IF(A18="","",COUNTIFS(COMPOSANTS!B:B,A18,COMPOSANTS!G:G,"Défectueux"))</f>
        <v/>
      </c>
      <c r="H18" s="84">
        <f>IF(A18="","",IFERROR(VLOOKUP(A18,EQUIPEMENTS!A:R,18,0),""))</f>
        <v/>
      </c>
      <c r="I18" s="84">
        <f>IF(A18="","",IF(AND(C18="Haute",D18="En panne"),"🔴 CRITIQUE",IF(OR(E18&gt;0,F18&gt;0,G18&gt;0),"🟠 ATTENTION","🟢 OK")))</f>
        <v/>
      </c>
      <c r="J18" s="84">
        <f>IF(A18="","",IFERROR(VLOOKUP(A18,EQUIPEMENTS!A:Q,17,0),""))</f>
        <v/>
      </c>
      <c r="K18" s="84" t="n"/>
    </row>
    <row r="19" ht="15" customHeight="1" s="59">
      <c r="A19" s="87">
        <f>IFERROR(EQUIPEMENTS!A19,"")</f>
        <v/>
      </c>
      <c r="B19" s="87">
        <f>IF(A19="","",IFERROR(VLOOKUP(A19,EQUIPEMENTS!A:B,2,0),""))</f>
        <v/>
      </c>
      <c r="C19" s="87">
        <f>IF(A19="","",IFERROR(VLOOKUP(A19,EQUIPEMENTS!A:D,4,0),""))</f>
        <v/>
      </c>
      <c r="D19" s="87">
        <f>IF(A19="","",IFERROR(VLOOKUP(A19,EQUIPEMENTS!A:M,13,0),""))</f>
        <v/>
      </c>
      <c r="E19" s="87">
        <f>IF(A19="","",COUNTIFS(MAINT_PREV!B:B,A19,MAINT_PREV!G:G,"Planifiée",MAINT_PREV!E:E,"&lt;"&amp;TODAY(),MAINT_PREV!H:H,""))</f>
        <v/>
      </c>
      <c r="F19" s="87">
        <f>IF(A19="","",COUNTIFS(INTERVENTIONS!B:B,A19,INTERVENTIONS!L:L,"Ouverte"))</f>
        <v/>
      </c>
      <c r="G19" s="87">
        <f>IF(A19="","",COUNTIFS(COMPOSANTS!B:B,A19,COMPOSANTS!G:G,"Défectueux"))</f>
        <v/>
      </c>
      <c r="H19" s="87">
        <f>IF(A19="","",IFERROR(VLOOKUP(A19,EQUIPEMENTS!A:R,18,0),""))</f>
        <v/>
      </c>
      <c r="I19" s="87">
        <f>IF(A19="","",IF(AND(C19="Haute",D19="En panne"),"🔴 CRITIQUE",IF(OR(E19&gt;0,F19&gt;0,G19&gt;0),"🟠 ATTENTION","🟢 OK")))</f>
        <v/>
      </c>
      <c r="J19" s="87">
        <f>IF(A19="","",IFERROR(VLOOKUP(A19,EQUIPEMENTS!A:Q,17,0),""))</f>
        <v/>
      </c>
      <c r="K19" s="87" t="n"/>
    </row>
    <row r="20" ht="15" customHeight="1" s="59">
      <c r="A20" s="84">
        <f>IFERROR(EQUIPEMENTS!A20,"")</f>
        <v/>
      </c>
      <c r="B20" s="84">
        <f>IF(A20="","",IFERROR(VLOOKUP(A20,EQUIPEMENTS!A:B,2,0),""))</f>
        <v/>
      </c>
      <c r="C20" s="84">
        <f>IF(A20="","",IFERROR(VLOOKUP(A20,EQUIPEMENTS!A:D,4,0),""))</f>
        <v/>
      </c>
      <c r="D20" s="84">
        <f>IF(A20="","",IFERROR(VLOOKUP(A20,EQUIPEMENTS!A:M,13,0),""))</f>
        <v/>
      </c>
      <c r="E20" s="84">
        <f>IF(A20="","",COUNTIFS(MAINT_PREV!B:B,A20,MAINT_PREV!G:G,"Planifiée",MAINT_PREV!E:E,"&lt;"&amp;TODAY(),MAINT_PREV!H:H,""))</f>
        <v/>
      </c>
      <c r="F20" s="84">
        <f>IF(A20="","",COUNTIFS(INTERVENTIONS!B:B,A20,INTERVENTIONS!L:L,"Ouverte"))</f>
        <v/>
      </c>
      <c r="G20" s="84">
        <f>IF(A20="","",COUNTIFS(COMPOSANTS!B:B,A20,COMPOSANTS!G:G,"Défectueux"))</f>
        <v/>
      </c>
      <c r="H20" s="84">
        <f>IF(A20="","",IFERROR(VLOOKUP(A20,EQUIPEMENTS!A:R,18,0),""))</f>
        <v/>
      </c>
      <c r="I20" s="84">
        <f>IF(A20="","",IF(AND(C20="Haute",D20="En panne"),"🔴 CRITIQUE",IF(OR(E20&gt;0,F20&gt;0,G20&gt;0),"🟠 ATTENTION","🟢 OK")))</f>
        <v/>
      </c>
      <c r="J20" s="84">
        <f>IF(A20="","",IFERROR(VLOOKUP(A20,EQUIPEMENTS!A:Q,17,0),""))</f>
        <v/>
      </c>
      <c r="K20" s="84" t="n"/>
    </row>
    <row r="21" ht="15" customHeight="1" s="59">
      <c r="A21" s="87">
        <f>IFERROR(EQUIPEMENTS!A21,"")</f>
        <v/>
      </c>
      <c r="B21" s="87">
        <f>IF(A21="","",IFERROR(VLOOKUP(A21,EQUIPEMENTS!A:B,2,0),""))</f>
        <v/>
      </c>
      <c r="C21" s="87">
        <f>IF(A21="","",IFERROR(VLOOKUP(A21,EQUIPEMENTS!A:D,4,0),""))</f>
        <v/>
      </c>
      <c r="D21" s="87">
        <f>IF(A21="","",IFERROR(VLOOKUP(A21,EQUIPEMENTS!A:M,13,0),""))</f>
        <v/>
      </c>
      <c r="E21" s="87">
        <f>IF(A21="","",COUNTIFS(MAINT_PREV!B:B,A21,MAINT_PREV!G:G,"Planifiée",MAINT_PREV!E:E,"&lt;"&amp;TODAY(),MAINT_PREV!H:H,""))</f>
        <v/>
      </c>
      <c r="F21" s="87">
        <f>IF(A21="","",COUNTIFS(INTERVENTIONS!B:B,A21,INTERVENTIONS!L:L,"Ouverte"))</f>
        <v/>
      </c>
      <c r="G21" s="87">
        <f>IF(A21="","",COUNTIFS(COMPOSANTS!B:B,A21,COMPOSANTS!G:G,"Défectueux"))</f>
        <v/>
      </c>
      <c r="H21" s="87">
        <f>IF(A21="","",IFERROR(VLOOKUP(A21,EQUIPEMENTS!A:R,18,0),""))</f>
        <v/>
      </c>
      <c r="I21" s="87">
        <f>IF(A21="","",IF(AND(C21="Haute",D21="En panne"),"🔴 CRITIQUE",IF(OR(E21&gt;0,F21&gt;0,G21&gt;0),"🟠 ATTENTION","🟢 OK")))</f>
        <v/>
      </c>
      <c r="J21" s="87">
        <f>IF(A21="","",IFERROR(VLOOKUP(A21,EQUIPEMENTS!A:Q,17,0),""))</f>
        <v/>
      </c>
      <c r="K21" s="87" t="n"/>
    </row>
    <row r="22" ht="15" customHeight="1" s="59">
      <c r="A22" s="84">
        <f>IFERROR(EQUIPEMENTS!A22,"")</f>
        <v/>
      </c>
      <c r="B22" s="84">
        <f>IF(A22="","",IFERROR(VLOOKUP(A22,EQUIPEMENTS!A:B,2,0),""))</f>
        <v/>
      </c>
      <c r="C22" s="84">
        <f>IF(A22="","",IFERROR(VLOOKUP(A22,EQUIPEMENTS!A:D,4,0),""))</f>
        <v/>
      </c>
      <c r="D22" s="84">
        <f>IF(A22="","",IFERROR(VLOOKUP(A22,EQUIPEMENTS!A:M,13,0),""))</f>
        <v/>
      </c>
      <c r="E22" s="84">
        <f>IF(A22="","",COUNTIFS(MAINT_PREV!B:B,A22,MAINT_PREV!G:G,"Planifiée",MAINT_PREV!E:E,"&lt;"&amp;TODAY(),MAINT_PREV!H:H,""))</f>
        <v/>
      </c>
      <c r="F22" s="84">
        <f>IF(A22="","",COUNTIFS(INTERVENTIONS!B:B,A22,INTERVENTIONS!L:L,"Ouverte"))</f>
        <v/>
      </c>
      <c r="G22" s="84">
        <f>IF(A22="","",COUNTIFS(COMPOSANTS!B:B,A22,COMPOSANTS!G:G,"Défectueux"))</f>
        <v/>
      </c>
      <c r="H22" s="84">
        <f>IF(A22="","",IFERROR(VLOOKUP(A22,EQUIPEMENTS!A:R,18,0),""))</f>
        <v/>
      </c>
      <c r="I22" s="84">
        <f>IF(A22="","",IF(AND(C22="Haute",D22="En panne"),"🔴 CRITIQUE",IF(OR(E22&gt;0,F22&gt;0,G22&gt;0),"🟠 ATTENTION","🟢 OK")))</f>
        <v/>
      </c>
      <c r="J22" s="84">
        <f>IF(A22="","",IFERROR(VLOOKUP(A22,EQUIPEMENTS!A:Q,17,0),""))</f>
        <v/>
      </c>
      <c r="K22" s="84" t="n"/>
    </row>
    <row r="23" ht="15" customHeight="1" s="59">
      <c r="A23" s="87">
        <f>IFERROR(EQUIPEMENTS!A23,"")</f>
        <v/>
      </c>
      <c r="B23" s="87">
        <f>IF(A23="","",IFERROR(VLOOKUP(A23,EQUIPEMENTS!A:B,2,0),""))</f>
        <v/>
      </c>
      <c r="C23" s="87">
        <f>IF(A23="","",IFERROR(VLOOKUP(A23,EQUIPEMENTS!A:D,4,0),""))</f>
        <v/>
      </c>
      <c r="D23" s="87">
        <f>IF(A23="","",IFERROR(VLOOKUP(A23,EQUIPEMENTS!A:M,13,0),""))</f>
        <v/>
      </c>
      <c r="E23" s="87">
        <f>IF(A23="","",COUNTIFS(MAINT_PREV!B:B,A23,MAINT_PREV!G:G,"Planifiée",MAINT_PREV!E:E,"&lt;"&amp;TODAY(),MAINT_PREV!H:H,""))</f>
        <v/>
      </c>
      <c r="F23" s="87">
        <f>IF(A23="","",COUNTIFS(INTERVENTIONS!B:B,A23,INTERVENTIONS!L:L,"Ouverte"))</f>
        <v/>
      </c>
      <c r="G23" s="87">
        <f>IF(A23="","",COUNTIFS(COMPOSANTS!B:B,A23,COMPOSANTS!G:G,"Défectueux"))</f>
        <v/>
      </c>
      <c r="H23" s="87">
        <f>IF(A23="","",IFERROR(VLOOKUP(A23,EQUIPEMENTS!A:R,18,0),""))</f>
        <v/>
      </c>
      <c r="I23" s="87">
        <f>IF(A23="","",IF(AND(C23="Haute",D23="En panne"),"🔴 CRITIQUE",IF(OR(E23&gt;0,F23&gt;0,G23&gt;0),"🟠 ATTENTION","🟢 OK")))</f>
        <v/>
      </c>
      <c r="J23" s="87">
        <f>IF(A23="","",IFERROR(VLOOKUP(A23,EQUIPEMENTS!A:Q,17,0),""))</f>
        <v/>
      </c>
      <c r="K23" s="87" t="n"/>
    </row>
    <row r="24" ht="15" customHeight="1" s="59">
      <c r="A24" s="84">
        <f>IFERROR(EQUIPEMENTS!A24,"")</f>
        <v/>
      </c>
      <c r="B24" s="84">
        <f>IF(A24="","",IFERROR(VLOOKUP(A24,EQUIPEMENTS!A:B,2,0),""))</f>
        <v/>
      </c>
      <c r="C24" s="84">
        <f>IF(A24="","",IFERROR(VLOOKUP(A24,EQUIPEMENTS!A:D,4,0),""))</f>
        <v/>
      </c>
      <c r="D24" s="84">
        <f>IF(A24="","",IFERROR(VLOOKUP(A24,EQUIPEMENTS!A:M,13,0),""))</f>
        <v/>
      </c>
      <c r="E24" s="84">
        <f>IF(A24="","",COUNTIFS(MAINT_PREV!B:B,A24,MAINT_PREV!G:G,"Planifiée",MAINT_PREV!E:E,"&lt;"&amp;TODAY(),MAINT_PREV!H:H,""))</f>
        <v/>
      </c>
      <c r="F24" s="84">
        <f>IF(A24="","",COUNTIFS(INTERVENTIONS!B:B,A24,INTERVENTIONS!L:L,"Ouverte"))</f>
        <v/>
      </c>
      <c r="G24" s="84">
        <f>IF(A24="","",COUNTIFS(COMPOSANTS!B:B,A24,COMPOSANTS!G:G,"Défectueux"))</f>
        <v/>
      </c>
      <c r="H24" s="84">
        <f>IF(A24="","",IFERROR(VLOOKUP(A24,EQUIPEMENTS!A:R,18,0),""))</f>
        <v/>
      </c>
      <c r="I24" s="84">
        <f>IF(A24="","",IF(AND(C24="Haute",D24="En panne"),"🔴 CRITIQUE",IF(OR(E24&gt;0,F24&gt;0,G24&gt;0),"🟠 ATTENTION","🟢 OK")))</f>
        <v/>
      </c>
      <c r="J24" s="84">
        <f>IF(A24="","",IFERROR(VLOOKUP(A24,EQUIPEMENTS!A:Q,17,0),""))</f>
        <v/>
      </c>
      <c r="K24" s="84" t="n"/>
    </row>
    <row r="25" ht="15" customHeight="1" s="59">
      <c r="A25" s="87">
        <f>IFERROR(EQUIPEMENTS!A25,"")</f>
        <v/>
      </c>
      <c r="B25" s="87">
        <f>IF(A25="","",IFERROR(VLOOKUP(A25,EQUIPEMENTS!A:B,2,0),""))</f>
        <v/>
      </c>
      <c r="C25" s="87">
        <f>IF(A25="","",IFERROR(VLOOKUP(A25,EQUIPEMENTS!A:D,4,0),""))</f>
        <v/>
      </c>
      <c r="D25" s="87">
        <f>IF(A25="","",IFERROR(VLOOKUP(A25,EQUIPEMENTS!A:M,13,0),""))</f>
        <v/>
      </c>
      <c r="E25" s="87">
        <f>IF(A25="","",COUNTIFS(MAINT_PREV!B:B,A25,MAINT_PREV!G:G,"Planifiée",MAINT_PREV!E:E,"&lt;"&amp;TODAY(),MAINT_PREV!H:H,""))</f>
        <v/>
      </c>
      <c r="F25" s="87">
        <f>IF(A25="","",COUNTIFS(INTERVENTIONS!B:B,A25,INTERVENTIONS!L:L,"Ouverte"))</f>
        <v/>
      </c>
      <c r="G25" s="87">
        <f>IF(A25="","",COUNTIFS(COMPOSANTS!B:B,A25,COMPOSANTS!G:G,"Défectueux"))</f>
        <v/>
      </c>
      <c r="H25" s="87">
        <f>IF(A25="","",IFERROR(VLOOKUP(A25,EQUIPEMENTS!A:R,18,0),""))</f>
        <v/>
      </c>
      <c r="I25" s="87">
        <f>IF(A25="","",IF(AND(C25="Haute",D25="En panne"),"🔴 CRITIQUE",IF(OR(E25&gt;0,F25&gt;0,G25&gt;0),"🟠 ATTENTION","🟢 OK")))</f>
        <v/>
      </c>
      <c r="J25" s="87">
        <f>IF(A25="","",IFERROR(VLOOKUP(A25,EQUIPEMENTS!A:Q,17,0),""))</f>
        <v/>
      </c>
      <c r="K25" s="87" t="n"/>
    </row>
    <row r="26" ht="15" customHeight="1" s="59">
      <c r="A26" s="84">
        <f>IFERROR(EQUIPEMENTS!A26,"")</f>
        <v/>
      </c>
      <c r="B26" s="84">
        <f>IF(A26="","",IFERROR(VLOOKUP(A26,EQUIPEMENTS!A:B,2,0),""))</f>
        <v/>
      </c>
      <c r="C26" s="84">
        <f>IF(A26="","",IFERROR(VLOOKUP(A26,EQUIPEMENTS!A:D,4,0),""))</f>
        <v/>
      </c>
      <c r="D26" s="84">
        <f>IF(A26="","",IFERROR(VLOOKUP(A26,EQUIPEMENTS!A:M,13,0),""))</f>
        <v/>
      </c>
      <c r="E26" s="84">
        <f>IF(A26="","",COUNTIFS(MAINT_PREV!B:B,A26,MAINT_PREV!G:G,"Planifiée",MAINT_PREV!E:E,"&lt;"&amp;TODAY(),MAINT_PREV!H:H,""))</f>
        <v/>
      </c>
      <c r="F26" s="84">
        <f>IF(A26="","",COUNTIFS(INTERVENTIONS!B:B,A26,INTERVENTIONS!L:L,"Ouverte"))</f>
        <v/>
      </c>
      <c r="G26" s="84">
        <f>IF(A26="","",COUNTIFS(COMPOSANTS!B:B,A26,COMPOSANTS!G:G,"Défectueux"))</f>
        <v/>
      </c>
      <c r="H26" s="84">
        <f>IF(A26="","",IFERROR(VLOOKUP(A26,EQUIPEMENTS!A:R,18,0),""))</f>
        <v/>
      </c>
      <c r="I26" s="84">
        <f>IF(A26="","",IF(AND(C26="Haute",D26="En panne"),"🔴 CRITIQUE",IF(OR(E26&gt;0,F26&gt;0,G26&gt;0),"🟠 ATTENTION","🟢 OK")))</f>
        <v/>
      </c>
      <c r="J26" s="84">
        <f>IF(A26="","",IFERROR(VLOOKUP(A26,EQUIPEMENTS!A:Q,17,0),""))</f>
        <v/>
      </c>
      <c r="K26" s="84" t="n"/>
    </row>
    <row r="27" ht="15" customHeight="1" s="59">
      <c r="A27" s="87">
        <f>IFERROR(EQUIPEMENTS!A27,"")</f>
        <v/>
      </c>
      <c r="B27" s="87">
        <f>IF(A27="","",IFERROR(VLOOKUP(A27,EQUIPEMENTS!A:B,2,0),""))</f>
        <v/>
      </c>
      <c r="C27" s="87">
        <f>IF(A27="","",IFERROR(VLOOKUP(A27,EQUIPEMENTS!A:D,4,0),""))</f>
        <v/>
      </c>
      <c r="D27" s="87">
        <f>IF(A27="","",IFERROR(VLOOKUP(A27,EQUIPEMENTS!A:M,13,0),""))</f>
        <v/>
      </c>
      <c r="E27" s="87">
        <f>IF(A27="","",COUNTIFS(MAINT_PREV!B:B,A27,MAINT_PREV!G:G,"Planifiée",MAINT_PREV!E:E,"&lt;"&amp;TODAY(),MAINT_PREV!H:H,""))</f>
        <v/>
      </c>
      <c r="F27" s="87">
        <f>IF(A27="","",COUNTIFS(INTERVENTIONS!B:B,A27,INTERVENTIONS!L:L,"Ouverte"))</f>
        <v/>
      </c>
      <c r="G27" s="87">
        <f>IF(A27="","",COUNTIFS(COMPOSANTS!B:B,A27,COMPOSANTS!G:G,"Défectueux"))</f>
        <v/>
      </c>
      <c r="H27" s="87">
        <f>IF(A27="","",IFERROR(VLOOKUP(A27,EQUIPEMENTS!A:R,18,0),""))</f>
        <v/>
      </c>
      <c r="I27" s="87">
        <f>IF(A27="","",IF(AND(C27="Haute",D27="En panne"),"🔴 CRITIQUE",IF(OR(E27&gt;0,F27&gt;0,G27&gt;0),"🟠 ATTENTION","🟢 OK")))</f>
        <v/>
      </c>
      <c r="J27" s="87">
        <f>IF(A27="","",IFERROR(VLOOKUP(A27,EQUIPEMENTS!A:Q,17,0),""))</f>
        <v/>
      </c>
      <c r="K27" s="87" t="n"/>
    </row>
    <row r="28" ht="15" customHeight="1" s="59">
      <c r="A28" s="84">
        <f>IFERROR(EQUIPEMENTS!A28,"")</f>
        <v/>
      </c>
      <c r="B28" s="84">
        <f>IF(A28="","",IFERROR(VLOOKUP(A28,EQUIPEMENTS!A:B,2,0),""))</f>
        <v/>
      </c>
      <c r="C28" s="84">
        <f>IF(A28="","",IFERROR(VLOOKUP(A28,EQUIPEMENTS!A:D,4,0),""))</f>
        <v/>
      </c>
      <c r="D28" s="84">
        <f>IF(A28="","",IFERROR(VLOOKUP(A28,EQUIPEMENTS!A:M,13,0),""))</f>
        <v/>
      </c>
      <c r="E28" s="84">
        <f>IF(A28="","",COUNTIFS(MAINT_PREV!B:B,A28,MAINT_PREV!G:G,"Planifiée",MAINT_PREV!E:E,"&lt;"&amp;TODAY(),MAINT_PREV!H:H,""))</f>
        <v/>
      </c>
      <c r="F28" s="84">
        <f>IF(A28="","",COUNTIFS(INTERVENTIONS!B:B,A28,INTERVENTIONS!L:L,"Ouverte"))</f>
        <v/>
      </c>
      <c r="G28" s="84">
        <f>IF(A28="","",COUNTIFS(COMPOSANTS!B:B,A28,COMPOSANTS!G:G,"Défectueux"))</f>
        <v/>
      </c>
      <c r="H28" s="84">
        <f>IF(A28="","",IFERROR(VLOOKUP(A28,EQUIPEMENTS!A:R,18,0),""))</f>
        <v/>
      </c>
      <c r="I28" s="84">
        <f>IF(A28="","",IF(AND(C28="Haute",D28="En panne"),"🔴 CRITIQUE",IF(OR(E28&gt;0,F28&gt;0,G28&gt;0),"🟠 ATTENTION","🟢 OK")))</f>
        <v/>
      </c>
      <c r="J28" s="84">
        <f>IF(A28="","",IFERROR(VLOOKUP(A28,EQUIPEMENTS!A:Q,17,0),""))</f>
        <v/>
      </c>
      <c r="K28" s="84" t="n"/>
    </row>
    <row r="29" ht="15" customHeight="1" s="59">
      <c r="A29" s="87">
        <f>IFERROR(EQUIPEMENTS!A29,"")</f>
        <v/>
      </c>
      <c r="B29" s="87">
        <f>IF(A29="","",IFERROR(VLOOKUP(A29,EQUIPEMENTS!A:B,2,0),""))</f>
        <v/>
      </c>
      <c r="C29" s="87">
        <f>IF(A29="","",IFERROR(VLOOKUP(A29,EQUIPEMENTS!A:D,4,0),""))</f>
        <v/>
      </c>
      <c r="D29" s="87">
        <f>IF(A29="","",IFERROR(VLOOKUP(A29,EQUIPEMENTS!A:M,13,0),""))</f>
        <v/>
      </c>
      <c r="E29" s="87">
        <f>IF(A29="","",COUNTIFS(MAINT_PREV!B:B,A29,MAINT_PREV!G:G,"Planifiée",MAINT_PREV!E:E,"&lt;"&amp;TODAY(),MAINT_PREV!H:H,""))</f>
        <v/>
      </c>
      <c r="F29" s="87">
        <f>IF(A29="","",COUNTIFS(INTERVENTIONS!B:B,A29,INTERVENTIONS!L:L,"Ouverte"))</f>
        <v/>
      </c>
      <c r="G29" s="87">
        <f>IF(A29="","",COUNTIFS(COMPOSANTS!B:B,A29,COMPOSANTS!G:G,"Défectueux"))</f>
        <v/>
      </c>
      <c r="H29" s="87">
        <f>IF(A29="","",IFERROR(VLOOKUP(A29,EQUIPEMENTS!A:R,18,0),""))</f>
        <v/>
      </c>
      <c r="I29" s="87">
        <f>IF(A29="","",IF(AND(C29="Haute",D29="En panne"),"🔴 CRITIQUE",IF(OR(E29&gt;0,F29&gt;0,G29&gt;0),"🟠 ATTENTION","🟢 OK")))</f>
        <v/>
      </c>
      <c r="J29" s="87">
        <f>IF(A29="","",IFERROR(VLOOKUP(A29,EQUIPEMENTS!A:Q,17,0),""))</f>
        <v/>
      </c>
      <c r="K29" s="87" t="n"/>
    </row>
    <row r="30" ht="15" customHeight="1" s="59">
      <c r="A30" s="84">
        <f>IFERROR(EQUIPEMENTS!A30,"")</f>
        <v/>
      </c>
      <c r="B30" s="84">
        <f>IF(A30="","",IFERROR(VLOOKUP(A30,EQUIPEMENTS!A:B,2,0),""))</f>
        <v/>
      </c>
      <c r="C30" s="84">
        <f>IF(A30="","",IFERROR(VLOOKUP(A30,EQUIPEMENTS!A:D,4,0),""))</f>
        <v/>
      </c>
      <c r="D30" s="84">
        <f>IF(A30="","",IFERROR(VLOOKUP(A30,EQUIPEMENTS!A:M,13,0),""))</f>
        <v/>
      </c>
      <c r="E30" s="84">
        <f>IF(A30="","",COUNTIFS(MAINT_PREV!B:B,A30,MAINT_PREV!G:G,"Planifiée",MAINT_PREV!E:E,"&lt;"&amp;TODAY(),MAINT_PREV!H:H,""))</f>
        <v/>
      </c>
      <c r="F30" s="84">
        <f>IF(A30="","",COUNTIFS(INTERVENTIONS!B:B,A30,INTERVENTIONS!L:L,"Ouverte"))</f>
        <v/>
      </c>
      <c r="G30" s="84">
        <f>IF(A30="","",COUNTIFS(COMPOSANTS!B:B,A30,COMPOSANTS!G:G,"Défectueux"))</f>
        <v/>
      </c>
      <c r="H30" s="84">
        <f>IF(A30="","",IFERROR(VLOOKUP(A30,EQUIPEMENTS!A:R,18,0),""))</f>
        <v/>
      </c>
      <c r="I30" s="84">
        <f>IF(A30="","",IF(AND(C30="Haute",D30="En panne"),"🔴 CRITIQUE",IF(OR(E30&gt;0,F30&gt;0,G30&gt;0),"🟠 ATTENTION","🟢 OK")))</f>
        <v/>
      </c>
      <c r="J30" s="84">
        <f>IF(A30="","",IFERROR(VLOOKUP(A30,EQUIPEMENTS!A:Q,17,0),""))</f>
        <v/>
      </c>
      <c r="K30" s="84" t="n"/>
    </row>
    <row r="31" ht="15" customHeight="1" s="59">
      <c r="A31" s="87">
        <f>IFERROR(EQUIPEMENTS!A31,"")</f>
        <v/>
      </c>
      <c r="B31" s="87">
        <f>IF(A31="","",IFERROR(VLOOKUP(A31,EQUIPEMENTS!A:B,2,0),""))</f>
        <v/>
      </c>
      <c r="C31" s="87">
        <f>IF(A31="","",IFERROR(VLOOKUP(A31,EQUIPEMENTS!A:D,4,0),""))</f>
        <v/>
      </c>
      <c r="D31" s="87">
        <f>IF(A31="","",IFERROR(VLOOKUP(A31,EQUIPEMENTS!A:M,13,0),""))</f>
        <v/>
      </c>
      <c r="E31" s="87">
        <f>IF(A31="","",COUNTIFS(MAINT_PREV!B:B,A31,MAINT_PREV!G:G,"Planifiée",MAINT_PREV!E:E,"&lt;"&amp;TODAY(),MAINT_PREV!H:H,""))</f>
        <v/>
      </c>
      <c r="F31" s="87">
        <f>IF(A31="","",COUNTIFS(INTERVENTIONS!B:B,A31,INTERVENTIONS!L:L,"Ouverte"))</f>
        <v/>
      </c>
      <c r="G31" s="87">
        <f>IF(A31="","",COUNTIFS(COMPOSANTS!B:B,A31,COMPOSANTS!G:G,"Défectueux"))</f>
        <v/>
      </c>
      <c r="H31" s="87">
        <f>IF(A31="","",IFERROR(VLOOKUP(A31,EQUIPEMENTS!A:R,18,0),""))</f>
        <v/>
      </c>
      <c r="I31" s="87">
        <f>IF(A31="","",IF(AND(C31="Haute",D31="En panne"),"🔴 CRITIQUE",IF(OR(E31&gt;0,F31&gt;0,G31&gt;0),"🟠 ATTENTION","🟢 OK")))</f>
        <v/>
      </c>
      <c r="J31" s="87">
        <f>IF(A31="","",IFERROR(VLOOKUP(A31,EQUIPEMENTS!A:Q,17,0),""))</f>
        <v/>
      </c>
      <c r="K31" s="87" t="n"/>
    </row>
    <row r="32" ht="15" customHeight="1" s="59">
      <c r="A32" s="84">
        <f>IFERROR(EQUIPEMENTS!A32,"")</f>
        <v/>
      </c>
      <c r="B32" s="84">
        <f>IF(A32="","",IFERROR(VLOOKUP(A32,EQUIPEMENTS!A:B,2,0),""))</f>
        <v/>
      </c>
      <c r="C32" s="84">
        <f>IF(A32="","",IFERROR(VLOOKUP(A32,EQUIPEMENTS!A:D,4,0),""))</f>
        <v/>
      </c>
      <c r="D32" s="84">
        <f>IF(A32="","",IFERROR(VLOOKUP(A32,EQUIPEMENTS!A:M,13,0),""))</f>
        <v/>
      </c>
      <c r="E32" s="84">
        <f>IF(A32="","",COUNTIFS(MAINT_PREV!B:B,A32,MAINT_PREV!G:G,"Planifiée",MAINT_PREV!E:E,"&lt;"&amp;TODAY(),MAINT_PREV!H:H,""))</f>
        <v/>
      </c>
      <c r="F32" s="84">
        <f>IF(A32="","",COUNTIFS(INTERVENTIONS!B:B,A32,INTERVENTIONS!L:L,"Ouverte"))</f>
        <v/>
      </c>
      <c r="G32" s="84">
        <f>IF(A32="","",COUNTIFS(COMPOSANTS!B:B,A32,COMPOSANTS!G:G,"Défectueux"))</f>
        <v/>
      </c>
      <c r="H32" s="84">
        <f>IF(A32="","",IFERROR(VLOOKUP(A32,EQUIPEMENTS!A:R,18,0),""))</f>
        <v/>
      </c>
      <c r="I32" s="84">
        <f>IF(A32="","",IF(AND(C32="Haute",D32="En panne"),"🔴 CRITIQUE",IF(OR(E32&gt;0,F32&gt;0,G32&gt;0),"🟠 ATTENTION","🟢 OK")))</f>
        <v/>
      </c>
      <c r="J32" s="84">
        <f>IF(A32="","",IFERROR(VLOOKUP(A32,EQUIPEMENTS!A:Q,17,0),""))</f>
        <v/>
      </c>
      <c r="K32" s="84" t="n"/>
    </row>
    <row r="33" ht="15" customHeight="1" s="59">
      <c r="A33" s="87">
        <f>IFERROR(EQUIPEMENTS!A33,"")</f>
        <v/>
      </c>
      <c r="B33" s="87">
        <f>IF(A33="","",IFERROR(VLOOKUP(A33,EQUIPEMENTS!A:B,2,0),""))</f>
        <v/>
      </c>
      <c r="C33" s="87">
        <f>IF(A33="","",IFERROR(VLOOKUP(A33,EQUIPEMENTS!A:D,4,0),""))</f>
        <v/>
      </c>
      <c r="D33" s="87">
        <f>IF(A33="","",IFERROR(VLOOKUP(A33,EQUIPEMENTS!A:M,13,0),""))</f>
        <v/>
      </c>
      <c r="E33" s="87">
        <f>IF(A33="","",COUNTIFS(MAINT_PREV!B:B,A33,MAINT_PREV!G:G,"Planifiée",MAINT_PREV!E:E,"&lt;"&amp;TODAY(),MAINT_PREV!H:H,""))</f>
        <v/>
      </c>
      <c r="F33" s="87">
        <f>IF(A33="","",COUNTIFS(INTERVENTIONS!B:B,A33,INTERVENTIONS!L:L,"Ouverte"))</f>
        <v/>
      </c>
      <c r="G33" s="87">
        <f>IF(A33="","",COUNTIFS(COMPOSANTS!B:B,A33,COMPOSANTS!G:G,"Défectueux"))</f>
        <v/>
      </c>
      <c r="H33" s="87">
        <f>IF(A33="","",IFERROR(VLOOKUP(A33,EQUIPEMENTS!A:R,18,0),""))</f>
        <v/>
      </c>
      <c r="I33" s="87">
        <f>IF(A33="","",IF(AND(C33="Haute",D33="En panne"),"🔴 CRITIQUE",IF(OR(E33&gt;0,F33&gt;0,G33&gt;0),"🟠 ATTENTION","🟢 OK")))</f>
        <v/>
      </c>
      <c r="J33" s="87">
        <f>IF(A33="","",IFERROR(VLOOKUP(A33,EQUIPEMENTS!A:Q,17,0),""))</f>
        <v/>
      </c>
      <c r="K33" s="87" t="n"/>
    </row>
    <row r="34" ht="15" customHeight="1" s="59">
      <c r="A34" s="84">
        <f>IFERROR(EQUIPEMENTS!A34,"")</f>
        <v/>
      </c>
      <c r="B34" s="84">
        <f>IF(A34="","",IFERROR(VLOOKUP(A34,EQUIPEMENTS!A:B,2,0),""))</f>
        <v/>
      </c>
      <c r="C34" s="84">
        <f>IF(A34="","",IFERROR(VLOOKUP(A34,EQUIPEMENTS!A:D,4,0),""))</f>
        <v/>
      </c>
      <c r="D34" s="84">
        <f>IF(A34="","",IFERROR(VLOOKUP(A34,EQUIPEMENTS!A:M,13,0),""))</f>
        <v/>
      </c>
      <c r="E34" s="84">
        <f>IF(A34="","",COUNTIFS(MAINT_PREV!B:B,A34,MAINT_PREV!G:G,"Planifiée",MAINT_PREV!E:E,"&lt;"&amp;TODAY(),MAINT_PREV!H:H,""))</f>
        <v/>
      </c>
      <c r="F34" s="84">
        <f>IF(A34="","",COUNTIFS(INTERVENTIONS!B:B,A34,INTERVENTIONS!L:L,"Ouverte"))</f>
        <v/>
      </c>
      <c r="G34" s="84">
        <f>IF(A34="","",COUNTIFS(COMPOSANTS!B:B,A34,COMPOSANTS!G:G,"Défectueux"))</f>
        <v/>
      </c>
      <c r="H34" s="84">
        <f>IF(A34="","",IFERROR(VLOOKUP(A34,EQUIPEMENTS!A:R,18,0),""))</f>
        <v/>
      </c>
      <c r="I34" s="84">
        <f>IF(A34="","",IF(AND(C34="Haute",D34="En panne"),"🔴 CRITIQUE",IF(OR(E34&gt;0,F34&gt;0,G34&gt;0),"🟠 ATTENTION","🟢 OK")))</f>
        <v/>
      </c>
      <c r="J34" s="84">
        <f>IF(A34="","",IFERROR(VLOOKUP(A34,EQUIPEMENTS!A:Q,17,0),""))</f>
        <v/>
      </c>
      <c r="K34" s="84" t="n"/>
    </row>
    <row r="35" ht="15" customHeight="1" s="59">
      <c r="A35" s="87">
        <f>IFERROR(EQUIPEMENTS!A35,"")</f>
        <v/>
      </c>
      <c r="B35" s="87">
        <f>IF(A35="","",IFERROR(VLOOKUP(A35,EQUIPEMENTS!A:B,2,0),""))</f>
        <v/>
      </c>
      <c r="C35" s="87">
        <f>IF(A35="","",IFERROR(VLOOKUP(A35,EQUIPEMENTS!A:D,4,0),""))</f>
        <v/>
      </c>
      <c r="D35" s="87">
        <f>IF(A35="","",IFERROR(VLOOKUP(A35,EQUIPEMENTS!A:M,13,0),""))</f>
        <v/>
      </c>
      <c r="E35" s="87">
        <f>IF(A35="","",COUNTIFS(MAINT_PREV!B:B,A35,MAINT_PREV!G:G,"Planifiée",MAINT_PREV!E:E,"&lt;"&amp;TODAY(),MAINT_PREV!H:H,""))</f>
        <v/>
      </c>
      <c r="F35" s="87">
        <f>IF(A35="","",COUNTIFS(INTERVENTIONS!B:B,A35,INTERVENTIONS!L:L,"Ouverte"))</f>
        <v/>
      </c>
      <c r="G35" s="87">
        <f>IF(A35="","",COUNTIFS(COMPOSANTS!B:B,A35,COMPOSANTS!G:G,"Défectueux"))</f>
        <v/>
      </c>
      <c r="H35" s="87">
        <f>IF(A35="","",IFERROR(VLOOKUP(A35,EQUIPEMENTS!A:R,18,0),""))</f>
        <v/>
      </c>
      <c r="I35" s="87">
        <f>IF(A35="","",IF(AND(C35="Haute",D35="En panne"),"🔴 CRITIQUE",IF(OR(E35&gt;0,F35&gt;0,G35&gt;0),"🟠 ATTENTION","🟢 OK")))</f>
        <v/>
      </c>
      <c r="J35" s="87">
        <f>IF(A35="","",IFERROR(VLOOKUP(A35,EQUIPEMENTS!A:Q,17,0),""))</f>
        <v/>
      </c>
      <c r="K35" s="87" t="n"/>
    </row>
    <row r="36" ht="15" customHeight="1" s="59">
      <c r="A36" s="84">
        <f>IFERROR(EQUIPEMENTS!A36,"")</f>
        <v/>
      </c>
      <c r="B36" s="84">
        <f>IF(A36="","",IFERROR(VLOOKUP(A36,EQUIPEMENTS!A:B,2,0),""))</f>
        <v/>
      </c>
      <c r="C36" s="84">
        <f>IF(A36="","",IFERROR(VLOOKUP(A36,EQUIPEMENTS!A:D,4,0),""))</f>
        <v/>
      </c>
      <c r="D36" s="84">
        <f>IF(A36="","",IFERROR(VLOOKUP(A36,EQUIPEMENTS!A:M,13,0),""))</f>
        <v/>
      </c>
      <c r="E36" s="84">
        <f>IF(A36="","",COUNTIFS(MAINT_PREV!B:B,A36,MAINT_PREV!G:G,"Planifiée",MAINT_PREV!E:E,"&lt;"&amp;TODAY(),MAINT_PREV!H:H,""))</f>
        <v/>
      </c>
      <c r="F36" s="84">
        <f>IF(A36="","",COUNTIFS(INTERVENTIONS!B:B,A36,INTERVENTIONS!L:L,"Ouverte"))</f>
        <v/>
      </c>
      <c r="G36" s="84">
        <f>IF(A36="","",COUNTIFS(COMPOSANTS!B:B,A36,COMPOSANTS!G:G,"Défectueux"))</f>
        <v/>
      </c>
      <c r="H36" s="84">
        <f>IF(A36="","",IFERROR(VLOOKUP(A36,EQUIPEMENTS!A:R,18,0),""))</f>
        <v/>
      </c>
      <c r="I36" s="84">
        <f>IF(A36="","",IF(AND(C36="Haute",D36="En panne"),"🔴 CRITIQUE",IF(OR(E36&gt;0,F36&gt;0,G36&gt;0),"🟠 ATTENTION","🟢 OK")))</f>
        <v/>
      </c>
      <c r="J36" s="84">
        <f>IF(A36="","",IFERROR(VLOOKUP(A36,EQUIPEMENTS!A:Q,17,0),""))</f>
        <v/>
      </c>
      <c r="K36" s="84" t="n"/>
    </row>
    <row r="37" ht="15" customHeight="1" s="59">
      <c r="A37" s="87">
        <f>IFERROR(EQUIPEMENTS!A37,"")</f>
        <v/>
      </c>
      <c r="B37" s="87">
        <f>IF(A37="","",IFERROR(VLOOKUP(A37,EQUIPEMENTS!A:B,2,0),""))</f>
        <v/>
      </c>
      <c r="C37" s="87">
        <f>IF(A37="","",IFERROR(VLOOKUP(A37,EQUIPEMENTS!A:D,4,0),""))</f>
        <v/>
      </c>
      <c r="D37" s="87">
        <f>IF(A37="","",IFERROR(VLOOKUP(A37,EQUIPEMENTS!A:M,13,0),""))</f>
        <v/>
      </c>
      <c r="E37" s="87">
        <f>IF(A37="","",COUNTIFS(MAINT_PREV!B:B,A37,MAINT_PREV!G:G,"Planifiée",MAINT_PREV!E:E,"&lt;"&amp;TODAY(),MAINT_PREV!H:H,""))</f>
        <v/>
      </c>
      <c r="F37" s="87">
        <f>IF(A37="","",COUNTIFS(INTERVENTIONS!B:B,A37,INTERVENTIONS!L:L,"Ouverte"))</f>
        <v/>
      </c>
      <c r="G37" s="87">
        <f>IF(A37="","",COUNTIFS(COMPOSANTS!B:B,A37,COMPOSANTS!G:G,"Défectueux"))</f>
        <v/>
      </c>
      <c r="H37" s="87">
        <f>IF(A37="","",IFERROR(VLOOKUP(A37,EQUIPEMENTS!A:R,18,0),""))</f>
        <v/>
      </c>
      <c r="I37" s="87">
        <f>IF(A37="","",IF(AND(C37="Haute",D37="En panne"),"🔴 CRITIQUE",IF(OR(E37&gt;0,F37&gt;0,G37&gt;0),"🟠 ATTENTION","🟢 OK")))</f>
        <v/>
      </c>
      <c r="J37" s="87">
        <f>IF(A37="","",IFERROR(VLOOKUP(A37,EQUIPEMENTS!A:Q,17,0),""))</f>
        <v/>
      </c>
      <c r="K37" s="87" t="n"/>
    </row>
    <row r="38" ht="15" customHeight="1" s="59">
      <c r="A38" s="84">
        <f>IFERROR(EQUIPEMENTS!A38,"")</f>
        <v/>
      </c>
      <c r="B38" s="84">
        <f>IF(A38="","",IFERROR(VLOOKUP(A38,EQUIPEMENTS!A:B,2,0),""))</f>
        <v/>
      </c>
      <c r="C38" s="84">
        <f>IF(A38="","",IFERROR(VLOOKUP(A38,EQUIPEMENTS!A:D,4,0),""))</f>
        <v/>
      </c>
      <c r="D38" s="84">
        <f>IF(A38="","",IFERROR(VLOOKUP(A38,EQUIPEMENTS!A:M,13,0),""))</f>
        <v/>
      </c>
      <c r="E38" s="84">
        <f>IF(A38="","",COUNTIFS(MAINT_PREV!B:B,A38,MAINT_PREV!G:G,"Planifiée",MAINT_PREV!E:E,"&lt;"&amp;TODAY(),MAINT_PREV!H:H,""))</f>
        <v/>
      </c>
      <c r="F38" s="84">
        <f>IF(A38="","",COUNTIFS(INTERVENTIONS!B:B,A38,INTERVENTIONS!L:L,"Ouverte"))</f>
        <v/>
      </c>
      <c r="G38" s="84">
        <f>IF(A38="","",COUNTIFS(COMPOSANTS!B:B,A38,COMPOSANTS!G:G,"Défectueux"))</f>
        <v/>
      </c>
      <c r="H38" s="84">
        <f>IF(A38="","",IFERROR(VLOOKUP(A38,EQUIPEMENTS!A:R,18,0),""))</f>
        <v/>
      </c>
      <c r="I38" s="84">
        <f>IF(A38="","",IF(AND(C38="Haute",D38="En panne"),"🔴 CRITIQUE",IF(OR(E38&gt;0,F38&gt;0,G38&gt;0),"🟠 ATTENTION","🟢 OK")))</f>
        <v/>
      </c>
      <c r="J38" s="84">
        <f>IF(A38="","",IFERROR(VLOOKUP(A38,EQUIPEMENTS!A:Q,17,0),""))</f>
        <v/>
      </c>
      <c r="K38" s="84" t="n"/>
    </row>
    <row r="39" ht="15" customHeight="1" s="59">
      <c r="A39" s="87">
        <f>IFERROR(EQUIPEMENTS!A39,"")</f>
        <v/>
      </c>
      <c r="B39" s="87">
        <f>IF(A39="","",IFERROR(VLOOKUP(A39,EQUIPEMENTS!A:B,2,0),""))</f>
        <v/>
      </c>
      <c r="C39" s="87">
        <f>IF(A39="","",IFERROR(VLOOKUP(A39,EQUIPEMENTS!A:D,4,0),""))</f>
        <v/>
      </c>
      <c r="D39" s="87">
        <f>IF(A39="","",IFERROR(VLOOKUP(A39,EQUIPEMENTS!A:M,13,0),""))</f>
        <v/>
      </c>
      <c r="E39" s="87">
        <f>IF(A39="","",COUNTIFS(MAINT_PREV!B:B,A39,MAINT_PREV!G:G,"Planifiée",MAINT_PREV!E:E,"&lt;"&amp;TODAY(),MAINT_PREV!H:H,""))</f>
        <v/>
      </c>
      <c r="F39" s="87">
        <f>IF(A39="","",COUNTIFS(INTERVENTIONS!B:B,A39,INTERVENTIONS!L:L,"Ouverte"))</f>
        <v/>
      </c>
      <c r="G39" s="87">
        <f>IF(A39="","",COUNTIFS(COMPOSANTS!B:B,A39,COMPOSANTS!G:G,"Défectueux"))</f>
        <v/>
      </c>
      <c r="H39" s="87">
        <f>IF(A39="","",IFERROR(VLOOKUP(A39,EQUIPEMENTS!A:R,18,0),""))</f>
        <v/>
      </c>
      <c r="I39" s="87">
        <f>IF(A39="","",IF(AND(C39="Haute",D39="En panne"),"🔴 CRITIQUE",IF(OR(E39&gt;0,F39&gt;0,G39&gt;0),"🟠 ATTENTION","🟢 OK")))</f>
        <v/>
      </c>
      <c r="J39" s="87">
        <f>IF(A39="","",IFERROR(VLOOKUP(A39,EQUIPEMENTS!A:Q,17,0),""))</f>
        <v/>
      </c>
      <c r="K39" s="87" t="n"/>
    </row>
    <row r="40" ht="15" customHeight="1" s="59">
      <c r="A40" s="84">
        <f>IFERROR(EQUIPEMENTS!A40,"")</f>
        <v/>
      </c>
      <c r="B40" s="84">
        <f>IF(A40="","",IFERROR(VLOOKUP(A40,EQUIPEMENTS!A:B,2,0),""))</f>
        <v/>
      </c>
      <c r="C40" s="84">
        <f>IF(A40="","",IFERROR(VLOOKUP(A40,EQUIPEMENTS!A:D,4,0),""))</f>
        <v/>
      </c>
      <c r="D40" s="84">
        <f>IF(A40="","",IFERROR(VLOOKUP(A40,EQUIPEMENTS!A:M,13,0),""))</f>
        <v/>
      </c>
      <c r="E40" s="84">
        <f>IF(A40="","",COUNTIFS(MAINT_PREV!B:B,A40,MAINT_PREV!G:G,"Planifiée",MAINT_PREV!E:E,"&lt;"&amp;TODAY(),MAINT_PREV!H:H,""))</f>
        <v/>
      </c>
      <c r="F40" s="84">
        <f>IF(A40="","",COUNTIFS(INTERVENTIONS!B:B,A40,INTERVENTIONS!L:L,"Ouverte"))</f>
        <v/>
      </c>
      <c r="G40" s="84">
        <f>IF(A40="","",COUNTIFS(COMPOSANTS!B:B,A40,COMPOSANTS!G:G,"Défectueux"))</f>
        <v/>
      </c>
      <c r="H40" s="84">
        <f>IF(A40="","",IFERROR(VLOOKUP(A40,EQUIPEMENTS!A:R,18,0),""))</f>
        <v/>
      </c>
      <c r="I40" s="84">
        <f>IF(A40="","",IF(AND(C40="Haute",D40="En panne"),"🔴 CRITIQUE",IF(OR(E40&gt;0,F40&gt;0,G40&gt;0),"🟠 ATTENTION","🟢 OK")))</f>
        <v/>
      </c>
      <c r="J40" s="84">
        <f>IF(A40="","",IFERROR(VLOOKUP(A40,EQUIPEMENTS!A:Q,17,0),""))</f>
        <v/>
      </c>
      <c r="K40" s="84" t="n"/>
    </row>
    <row r="41" ht="15" customHeight="1" s="59">
      <c r="A41" s="87">
        <f>IFERROR(EQUIPEMENTS!A41,"")</f>
        <v/>
      </c>
      <c r="B41" s="87">
        <f>IF(A41="","",IFERROR(VLOOKUP(A41,EQUIPEMENTS!A:B,2,0),""))</f>
        <v/>
      </c>
      <c r="C41" s="87">
        <f>IF(A41="","",IFERROR(VLOOKUP(A41,EQUIPEMENTS!A:D,4,0),""))</f>
        <v/>
      </c>
      <c r="D41" s="87">
        <f>IF(A41="","",IFERROR(VLOOKUP(A41,EQUIPEMENTS!A:M,13,0),""))</f>
        <v/>
      </c>
      <c r="E41" s="87">
        <f>IF(A41="","",COUNTIFS(MAINT_PREV!B:B,A41,MAINT_PREV!G:G,"Planifiée",MAINT_PREV!E:E,"&lt;"&amp;TODAY(),MAINT_PREV!H:H,""))</f>
        <v/>
      </c>
      <c r="F41" s="87">
        <f>IF(A41="","",COUNTIFS(INTERVENTIONS!B:B,A41,INTERVENTIONS!L:L,"Ouverte"))</f>
        <v/>
      </c>
      <c r="G41" s="87">
        <f>IF(A41="","",COUNTIFS(COMPOSANTS!B:B,A41,COMPOSANTS!G:G,"Défectueux"))</f>
        <v/>
      </c>
      <c r="H41" s="87">
        <f>IF(A41="","",IFERROR(VLOOKUP(A41,EQUIPEMENTS!A:R,18,0),""))</f>
        <v/>
      </c>
      <c r="I41" s="87">
        <f>IF(A41="","",IF(AND(C41="Haute",D41="En panne"),"🔴 CRITIQUE",IF(OR(E41&gt;0,F41&gt;0,G41&gt;0),"🟠 ATTENTION","🟢 OK")))</f>
        <v/>
      </c>
      <c r="J41" s="87">
        <f>IF(A41="","",IFERROR(VLOOKUP(A41,EQUIPEMENTS!A:Q,17,0),""))</f>
        <v/>
      </c>
      <c r="K41" s="87" t="n"/>
    </row>
    <row r="42" ht="15" customHeight="1" s="59">
      <c r="A42" s="84">
        <f>IFERROR(EQUIPEMENTS!A42,"")</f>
        <v/>
      </c>
      <c r="B42" s="84">
        <f>IF(A42="","",IFERROR(VLOOKUP(A42,EQUIPEMENTS!A:B,2,0),""))</f>
        <v/>
      </c>
      <c r="C42" s="84">
        <f>IF(A42="","",IFERROR(VLOOKUP(A42,EQUIPEMENTS!A:D,4,0),""))</f>
        <v/>
      </c>
      <c r="D42" s="84">
        <f>IF(A42="","",IFERROR(VLOOKUP(A42,EQUIPEMENTS!A:M,13,0),""))</f>
        <v/>
      </c>
      <c r="E42" s="84">
        <f>IF(A42="","",COUNTIFS(MAINT_PREV!B:B,A42,MAINT_PREV!G:G,"Planifiée",MAINT_PREV!E:E,"&lt;"&amp;TODAY(),MAINT_PREV!H:H,""))</f>
        <v/>
      </c>
      <c r="F42" s="84">
        <f>IF(A42="","",COUNTIFS(INTERVENTIONS!B:B,A42,INTERVENTIONS!L:L,"Ouverte"))</f>
        <v/>
      </c>
      <c r="G42" s="84">
        <f>IF(A42="","",COUNTIFS(COMPOSANTS!B:B,A42,COMPOSANTS!G:G,"Défectueux"))</f>
        <v/>
      </c>
      <c r="H42" s="84">
        <f>IF(A42="","",IFERROR(VLOOKUP(A42,EQUIPEMENTS!A:R,18,0),""))</f>
        <v/>
      </c>
      <c r="I42" s="84">
        <f>IF(A42="","",IF(AND(C42="Haute",D42="En panne"),"🔴 CRITIQUE",IF(OR(E42&gt;0,F42&gt;0,G42&gt;0),"🟠 ATTENTION","🟢 OK")))</f>
        <v/>
      </c>
      <c r="J42" s="84">
        <f>IF(A42="","",IFERROR(VLOOKUP(A42,EQUIPEMENTS!A:Q,17,0),""))</f>
        <v/>
      </c>
      <c r="K42" s="84" t="n"/>
    </row>
    <row r="43" ht="15" customHeight="1" s="59">
      <c r="A43" s="87">
        <f>IFERROR(EQUIPEMENTS!A43,"")</f>
        <v/>
      </c>
      <c r="B43" s="87">
        <f>IF(A43="","",IFERROR(VLOOKUP(A43,EQUIPEMENTS!A:B,2,0),""))</f>
        <v/>
      </c>
      <c r="C43" s="87">
        <f>IF(A43="","",IFERROR(VLOOKUP(A43,EQUIPEMENTS!A:D,4,0),""))</f>
        <v/>
      </c>
      <c r="D43" s="87">
        <f>IF(A43="","",IFERROR(VLOOKUP(A43,EQUIPEMENTS!A:M,13,0),""))</f>
        <v/>
      </c>
      <c r="E43" s="87">
        <f>IF(A43="","",COUNTIFS(MAINT_PREV!B:B,A43,MAINT_PREV!G:G,"Planifiée",MAINT_PREV!E:E,"&lt;"&amp;TODAY(),MAINT_PREV!H:H,""))</f>
        <v/>
      </c>
      <c r="F43" s="87">
        <f>IF(A43="","",COUNTIFS(INTERVENTIONS!B:B,A43,INTERVENTIONS!L:L,"Ouverte"))</f>
        <v/>
      </c>
      <c r="G43" s="87">
        <f>IF(A43="","",COUNTIFS(COMPOSANTS!B:B,A43,COMPOSANTS!G:G,"Défectueux"))</f>
        <v/>
      </c>
      <c r="H43" s="87">
        <f>IF(A43="","",IFERROR(VLOOKUP(A43,EQUIPEMENTS!A:R,18,0),""))</f>
        <v/>
      </c>
      <c r="I43" s="87">
        <f>IF(A43="","",IF(AND(C43="Haute",D43="En panne"),"🔴 CRITIQUE",IF(OR(E43&gt;0,F43&gt;0,G43&gt;0),"🟠 ATTENTION","🟢 OK")))</f>
        <v/>
      </c>
      <c r="J43" s="87">
        <f>IF(A43="","",IFERROR(VLOOKUP(A43,EQUIPEMENTS!A:Q,17,0),""))</f>
        <v/>
      </c>
      <c r="K43" s="87" t="n"/>
    </row>
    <row r="44" ht="15" customHeight="1" s="59">
      <c r="A44" s="84">
        <f>IFERROR(EQUIPEMENTS!A44,"")</f>
        <v/>
      </c>
      <c r="B44" s="84">
        <f>IF(A44="","",IFERROR(VLOOKUP(A44,EQUIPEMENTS!A:B,2,0),""))</f>
        <v/>
      </c>
      <c r="C44" s="84">
        <f>IF(A44="","",IFERROR(VLOOKUP(A44,EQUIPEMENTS!A:D,4,0),""))</f>
        <v/>
      </c>
      <c r="D44" s="84">
        <f>IF(A44="","",IFERROR(VLOOKUP(A44,EQUIPEMENTS!A:M,13,0),""))</f>
        <v/>
      </c>
      <c r="E44" s="84">
        <f>IF(A44="","",COUNTIFS(MAINT_PREV!B:B,A44,MAINT_PREV!G:G,"Planifiée",MAINT_PREV!E:E,"&lt;"&amp;TODAY(),MAINT_PREV!H:H,""))</f>
        <v/>
      </c>
      <c r="F44" s="84">
        <f>IF(A44="","",COUNTIFS(INTERVENTIONS!B:B,A44,INTERVENTIONS!L:L,"Ouverte"))</f>
        <v/>
      </c>
      <c r="G44" s="84">
        <f>IF(A44="","",COUNTIFS(COMPOSANTS!B:B,A44,COMPOSANTS!G:G,"Défectueux"))</f>
        <v/>
      </c>
      <c r="H44" s="84">
        <f>IF(A44="","",IFERROR(VLOOKUP(A44,EQUIPEMENTS!A:R,18,0),""))</f>
        <v/>
      </c>
      <c r="I44" s="84">
        <f>IF(A44="","",IF(AND(C44="Haute",D44="En panne"),"🔴 CRITIQUE",IF(OR(E44&gt;0,F44&gt;0,G44&gt;0),"🟠 ATTENTION","🟢 OK")))</f>
        <v/>
      </c>
      <c r="J44" s="84">
        <f>IF(A44="","",IFERROR(VLOOKUP(A44,EQUIPEMENTS!A:Q,17,0),""))</f>
        <v/>
      </c>
      <c r="K44" s="84" t="n"/>
    </row>
    <row r="45" ht="15" customHeight="1" s="59">
      <c r="A45" s="87">
        <f>IFERROR(EQUIPEMENTS!A45,"")</f>
        <v/>
      </c>
      <c r="B45" s="87">
        <f>IF(A45="","",IFERROR(VLOOKUP(A45,EQUIPEMENTS!A:B,2,0),""))</f>
        <v/>
      </c>
      <c r="C45" s="87">
        <f>IF(A45="","",IFERROR(VLOOKUP(A45,EQUIPEMENTS!A:D,4,0),""))</f>
        <v/>
      </c>
      <c r="D45" s="87">
        <f>IF(A45="","",IFERROR(VLOOKUP(A45,EQUIPEMENTS!A:M,13,0),""))</f>
        <v/>
      </c>
      <c r="E45" s="87">
        <f>IF(A45="","",COUNTIFS(MAINT_PREV!B:B,A45,MAINT_PREV!G:G,"Planifiée",MAINT_PREV!E:E,"&lt;"&amp;TODAY(),MAINT_PREV!H:H,""))</f>
        <v/>
      </c>
      <c r="F45" s="87">
        <f>IF(A45="","",COUNTIFS(INTERVENTIONS!B:B,A45,INTERVENTIONS!L:L,"Ouverte"))</f>
        <v/>
      </c>
      <c r="G45" s="87">
        <f>IF(A45="","",COUNTIFS(COMPOSANTS!B:B,A45,COMPOSANTS!G:G,"Défectueux"))</f>
        <v/>
      </c>
      <c r="H45" s="87">
        <f>IF(A45="","",IFERROR(VLOOKUP(A45,EQUIPEMENTS!A:R,18,0),""))</f>
        <v/>
      </c>
      <c r="I45" s="87">
        <f>IF(A45="","",IF(AND(C45="Haute",D45="En panne"),"🔴 CRITIQUE",IF(OR(E45&gt;0,F45&gt;0,G45&gt;0),"🟠 ATTENTION","🟢 OK")))</f>
        <v/>
      </c>
      <c r="J45" s="87">
        <f>IF(A45="","",IFERROR(VLOOKUP(A45,EQUIPEMENTS!A:Q,17,0),""))</f>
        <v/>
      </c>
      <c r="K45" s="87" t="n"/>
    </row>
    <row r="46" ht="15" customHeight="1" s="59">
      <c r="A46" s="84">
        <f>IFERROR(EQUIPEMENTS!A46,"")</f>
        <v/>
      </c>
      <c r="B46" s="84">
        <f>IF(A46="","",IFERROR(VLOOKUP(A46,EQUIPEMENTS!A:B,2,0),""))</f>
        <v/>
      </c>
      <c r="C46" s="84">
        <f>IF(A46="","",IFERROR(VLOOKUP(A46,EQUIPEMENTS!A:D,4,0),""))</f>
        <v/>
      </c>
      <c r="D46" s="84">
        <f>IF(A46="","",IFERROR(VLOOKUP(A46,EQUIPEMENTS!A:M,13,0),""))</f>
        <v/>
      </c>
      <c r="E46" s="84">
        <f>IF(A46="","",COUNTIFS(MAINT_PREV!B:B,A46,MAINT_PREV!G:G,"Planifiée",MAINT_PREV!E:E,"&lt;"&amp;TODAY(),MAINT_PREV!H:H,""))</f>
        <v/>
      </c>
      <c r="F46" s="84">
        <f>IF(A46="","",COUNTIFS(INTERVENTIONS!B:B,A46,INTERVENTIONS!L:L,"Ouverte"))</f>
        <v/>
      </c>
      <c r="G46" s="84">
        <f>IF(A46="","",COUNTIFS(COMPOSANTS!B:B,A46,COMPOSANTS!G:G,"Défectueux"))</f>
        <v/>
      </c>
      <c r="H46" s="84">
        <f>IF(A46="","",IFERROR(VLOOKUP(A46,EQUIPEMENTS!A:R,18,0),""))</f>
        <v/>
      </c>
      <c r="I46" s="84">
        <f>IF(A46="","",IF(AND(C46="Haute",D46="En panne"),"🔴 CRITIQUE",IF(OR(E46&gt;0,F46&gt;0,G46&gt;0),"🟠 ATTENTION","🟢 OK")))</f>
        <v/>
      </c>
      <c r="J46" s="84">
        <f>IF(A46="","",IFERROR(VLOOKUP(A46,EQUIPEMENTS!A:Q,17,0),""))</f>
        <v/>
      </c>
      <c r="K46" s="84" t="n"/>
    </row>
    <row r="47" ht="15" customHeight="1" s="59">
      <c r="A47" s="87">
        <f>IFERROR(EQUIPEMENTS!A47,"")</f>
        <v/>
      </c>
      <c r="B47" s="87">
        <f>IF(A47="","",IFERROR(VLOOKUP(A47,EQUIPEMENTS!A:B,2,0),""))</f>
        <v/>
      </c>
      <c r="C47" s="87">
        <f>IF(A47="","",IFERROR(VLOOKUP(A47,EQUIPEMENTS!A:D,4,0),""))</f>
        <v/>
      </c>
      <c r="D47" s="87">
        <f>IF(A47="","",IFERROR(VLOOKUP(A47,EQUIPEMENTS!A:M,13,0),""))</f>
        <v/>
      </c>
      <c r="E47" s="87">
        <f>IF(A47="","",COUNTIFS(MAINT_PREV!B:B,A47,MAINT_PREV!G:G,"Planifiée",MAINT_PREV!E:E,"&lt;"&amp;TODAY(),MAINT_PREV!H:H,""))</f>
        <v/>
      </c>
      <c r="F47" s="87">
        <f>IF(A47="","",COUNTIFS(INTERVENTIONS!B:B,A47,INTERVENTIONS!L:L,"Ouverte"))</f>
        <v/>
      </c>
      <c r="G47" s="87">
        <f>IF(A47="","",COUNTIFS(COMPOSANTS!B:B,A47,COMPOSANTS!G:G,"Défectueux"))</f>
        <v/>
      </c>
      <c r="H47" s="87">
        <f>IF(A47="","",IFERROR(VLOOKUP(A47,EQUIPEMENTS!A:R,18,0),""))</f>
        <v/>
      </c>
      <c r="I47" s="87">
        <f>IF(A47="","",IF(AND(C47="Haute",D47="En panne"),"🔴 CRITIQUE",IF(OR(E47&gt;0,F47&gt;0,G47&gt;0),"🟠 ATTENTION","🟢 OK")))</f>
        <v/>
      </c>
      <c r="J47" s="87">
        <f>IF(A47="","",IFERROR(VLOOKUP(A47,EQUIPEMENTS!A:Q,17,0),""))</f>
        <v/>
      </c>
      <c r="K47" s="87" t="n"/>
    </row>
    <row r="48" ht="15" customHeight="1" s="59">
      <c r="A48" s="84">
        <f>IFERROR(EQUIPEMENTS!A48,"")</f>
        <v/>
      </c>
      <c r="B48" s="84">
        <f>IF(A48="","",IFERROR(VLOOKUP(A48,EQUIPEMENTS!A:B,2,0),""))</f>
        <v/>
      </c>
      <c r="C48" s="84">
        <f>IF(A48="","",IFERROR(VLOOKUP(A48,EQUIPEMENTS!A:D,4,0),""))</f>
        <v/>
      </c>
      <c r="D48" s="84">
        <f>IF(A48="","",IFERROR(VLOOKUP(A48,EQUIPEMENTS!A:M,13,0),""))</f>
        <v/>
      </c>
      <c r="E48" s="84">
        <f>IF(A48="","",COUNTIFS(MAINT_PREV!B:B,A48,MAINT_PREV!G:G,"Planifiée",MAINT_PREV!E:E,"&lt;"&amp;TODAY(),MAINT_PREV!H:H,""))</f>
        <v/>
      </c>
      <c r="F48" s="84">
        <f>IF(A48="","",COUNTIFS(INTERVENTIONS!B:B,A48,INTERVENTIONS!L:L,"Ouverte"))</f>
        <v/>
      </c>
      <c r="G48" s="84">
        <f>IF(A48="","",COUNTIFS(COMPOSANTS!B:B,A48,COMPOSANTS!G:G,"Défectueux"))</f>
        <v/>
      </c>
      <c r="H48" s="84">
        <f>IF(A48="","",IFERROR(VLOOKUP(A48,EQUIPEMENTS!A:R,18,0),""))</f>
        <v/>
      </c>
      <c r="I48" s="84">
        <f>IF(A48="","",IF(AND(C48="Haute",D48="En panne"),"🔴 CRITIQUE",IF(OR(E48&gt;0,F48&gt;0,G48&gt;0),"🟠 ATTENTION","🟢 OK")))</f>
        <v/>
      </c>
      <c r="J48" s="84">
        <f>IF(A48="","",IFERROR(VLOOKUP(A48,EQUIPEMENTS!A:Q,17,0),""))</f>
        <v/>
      </c>
      <c r="K48" s="84" t="n"/>
    </row>
    <row r="49" ht="15" customHeight="1" s="59">
      <c r="A49" s="87">
        <f>IFERROR(EQUIPEMENTS!A49,"")</f>
        <v/>
      </c>
      <c r="B49" s="87">
        <f>IF(A49="","",IFERROR(VLOOKUP(A49,EQUIPEMENTS!A:B,2,0),""))</f>
        <v/>
      </c>
      <c r="C49" s="87">
        <f>IF(A49="","",IFERROR(VLOOKUP(A49,EQUIPEMENTS!A:D,4,0),""))</f>
        <v/>
      </c>
      <c r="D49" s="87">
        <f>IF(A49="","",IFERROR(VLOOKUP(A49,EQUIPEMENTS!A:M,13,0),""))</f>
        <v/>
      </c>
      <c r="E49" s="87">
        <f>IF(A49="","",COUNTIFS(MAINT_PREV!B:B,A49,MAINT_PREV!G:G,"Planifiée",MAINT_PREV!E:E,"&lt;"&amp;TODAY(),MAINT_PREV!H:H,""))</f>
        <v/>
      </c>
      <c r="F49" s="87">
        <f>IF(A49="","",COUNTIFS(INTERVENTIONS!B:B,A49,INTERVENTIONS!L:L,"Ouverte"))</f>
        <v/>
      </c>
      <c r="G49" s="87">
        <f>IF(A49="","",COUNTIFS(COMPOSANTS!B:B,A49,COMPOSANTS!G:G,"Défectueux"))</f>
        <v/>
      </c>
      <c r="H49" s="87">
        <f>IF(A49="","",IFERROR(VLOOKUP(A49,EQUIPEMENTS!A:R,18,0),""))</f>
        <v/>
      </c>
      <c r="I49" s="87">
        <f>IF(A49="","",IF(AND(C49="Haute",D49="En panne"),"🔴 CRITIQUE",IF(OR(E49&gt;0,F49&gt;0,G49&gt;0),"🟠 ATTENTION","🟢 OK")))</f>
        <v/>
      </c>
      <c r="J49" s="87">
        <f>IF(A49="","",IFERROR(VLOOKUP(A49,EQUIPEMENTS!A:Q,17,0),""))</f>
        <v/>
      </c>
      <c r="K49" s="87" t="n"/>
    </row>
    <row r="50" ht="15" customHeight="1" s="59">
      <c r="A50" s="84">
        <f>IFERROR(EQUIPEMENTS!A50,"")</f>
        <v/>
      </c>
      <c r="B50" s="84">
        <f>IF(A50="","",IFERROR(VLOOKUP(A50,EQUIPEMENTS!A:B,2,0),""))</f>
        <v/>
      </c>
      <c r="C50" s="84">
        <f>IF(A50="","",IFERROR(VLOOKUP(A50,EQUIPEMENTS!A:D,4,0),""))</f>
        <v/>
      </c>
      <c r="D50" s="84">
        <f>IF(A50="","",IFERROR(VLOOKUP(A50,EQUIPEMENTS!A:M,13,0),""))</f>
        <v/>
      </c>
      <c r="E50" s="84">
        <f>IF(A50="","",COUNTIFS(MAINT_PREV!B:B,A50,MAINT_PREV!G:G,"Planifiée",MAINT_PREV!E:E,"&lt;"&amp;TODAY(),MAINT_PREV!H:H,""))</f>
        <v/>
      </c>
      <c r="F50" s="84">
        <f>IF(A50="","",COUNTIFS(INTERVENTIONS!B:B,A50,INTERVENTIONS!L:L,"Ouverte"))</f>
        <v/>
      </c>
      <c r="G50" s="84">
        <f>IF(A50="","",COUNTIFS(COMPOSANTS!B:B,A50,COMPOSANTS!G:G,"Défectueux"))</f>
        <v/>
      </c>
      <c r="H50" s="84">
        <f>IF(A50="","",IFERROR(VLOOKUP(A50,EQUIPEMENTS!A:R,18,0),""))</f>
        <v/>
      </c>
      <c r="I50" s="84">
        <f>IF(A50="","",IF(AND(C50="Haute",D50="En panne"),"🔴 CRITIQUE",IF(OR(E50&gt;0,F50&gt;0,G50&gt;0),"🟠 ATTENTION","🟢 OK")))</f>
        <v/>
      </c>
      <c r="J50" s="84">
        <f>IF(A50="","",IFERROR(VLOOKUP(A50,EQUIPEMENTS!A:Q,17,0),""))</f>
        <v/>
      </c>
      <c r="K50" s="84" t="n"/>
    </row>
    <row r="51" ht="15" customHeight="1" s="59">
      <c r="A51" s="87">
        <f>IFERROR(EQUIPEMENTS!A51,"")</f>
        <v/>
      </c>
      <c r="B51" s="87">
        <f>IF(A51="","",IFERROR(VLOOKUP(A51,EQUIPEMENTS!A:B,2,0),""))</f>
        <v/>
      </c>
      <c r="C51" s="87">
        <f>IF(A51="","",IFERROR(VLOOKUP(A51,EQUIPEMENTS!A:D,4,0),""))</f>
        <v/>
      </c>
      <c r="D51" s="87">
        <f>IF(A51="","",IFERROR(VLOOKUP(A51,EQUIPEMENTS!A:M,13,0),""))</f>
        <v/>
      </c>
      <c r="E51" s="87">
        <f>IF(A51="","",COUNTIFS(MAINT_PREV!B:B,A51,MAINT_PREV!G:G,"Planifiée",MAINT_PREV!E:E,"&lt;"&amp;TODAY(),MAINT_PREV!H:H,""))</f>
        <v/>
      </c>
      <c r="F51" s="87">
        <f>IF(A51="","",COUNTIFS(INTERVENTIONS!B:B,A51,INTERVENTIONS!L:L,"Ouverte"))</f>
        <v/>
      </c>
      <c r="G51" s="87">
        <f>IF(A51="","",COUNTIFS(COMPOSANTS!B:B,A51,COMPOSANTS!G:G,"Défectueux"))</f>
        <v/>
      </c>
      <c r="H51" s="87">
        <f>IF(A51="","",IFERROR(VLOOKUP(A51,EQUIPEMENTS!A:R,18,0),""))</f>
        <v/>
      </c>
      <c r="I51" s="87">
        <f>IF(A51="","",IF(AND(C51="Haute",D51="En panne"),"🔴 CRITIQUE",IF(OR(E51&gt;0,F51&gt;0,G51&gt;0),"🟠 ATTENTION","🟢 OK")))</f>
        <v/>
      </c>
      <c r="J51" s="87">
        <f>IF(A51="","",IFERROR(VLOOKUP(A51,EQUIPEMENTS!A:Q,17,0),""))</f>
        <v/>
      </c>
      <c r="K51" s="87" t="n"/>
    </row>
    <row r="52" ht="15" customHeight="1" s="59">
      <c r="A52" s="84">
        <f>IFERROR(EQUIPEMENTS!A52,"")</f>
        <v/>
      </c>
      <c r="B52" s="84">
        <f>IF(A52="","",IFERROR(VLOOKUP(A52,EQUIPEMENTS!A:B,2,0),""))</f>
        <v/>
      </c>
      <c r="C52" s="84">
        <f>IF(A52="","",IFERROR(VLOOKUP(A52,EQUIPEMENTS!A:D,4,0),""))</f>
        <v/>
      </c>
      <c r="D52" s="84">
        <f>IF(A52="","",IFERROR(VLOOKUP(A52,EQUIPEMENTS!A:M,13,0),""))</f>
        <v/>
      </c>
      <c r="E52" s="84">
        <f>IF(A52="","",COUNTIFS(MAINT_PREV!B:B,A52,MAINT_PREV!G:G,"Planifiée",MAINT_PREV!E:E,"&lt;"&amp;TODAY(),MAINT_PREV!H:H,""))</f>
        <v/>
      </c>
      <c r="F52" s="84">
        <f>IF(A52="","",COUNTIFS(INTERVENTIONS!B:B,A52,INTERVENTIONS!L:L,"Ouverte"))</f>
        <v/>
      </c>
      <c r="G52" s="84">
        <f>IF(A52="","",COUNTIFS(COMPOSANTS!B:B,A52,COMPOSANTS!G:G,"Défectueux"))</f>
        <v/>
      </c>
      <c r="H52" s="84">
        <f>IF(A52="","",IFERROR(VLOOKUP(A52,EQUIPEMENTS!A:R,18,0),""))</f>
        <v/>
      </c>
      <c r="I52" s="84">
        <f>IF(A52="","",IF(AND(C52="Haute",D52="En panne"),"🔴 CRITIQUE",IF(OR(E52&gt;0,F52&gt;0,G52&gt;0),"🟠 ATTENTION","🟢 OK")))</f>
        <v/>
      </c>
      <c r="J52" s="84">
        <f>IF(A52="","",IFERROR(VLOOKUP(A52,EQUIPEMENTS!A:Q,17,0),""))</f>
        <v/>
      </c>
      <c r="K52" s="84" t="n"/>
    </row>
    <row r="53" ht="15" customHeight="1" s="59">
      <c r="A53" s="87">
        <f>IFERROR(EQUIPEMENTS!A53,"")</f>
        <v/>
      </c>
      <c r="B53" s="87">
        <f>IF(A53="","",IFERROR(VLOOKUP(A53,EQUIPEMENTS!A:B,2,0),""))</f>
        <v/>
      </c>
      <c r="C53" s="87">
        <f>IF(A53="","",IFERROR(VLOOKUP(A53,EQUIPEMENTS!A:D,4,0),""))</f>
        <v/>
      </c>
      <c r="D53" s="87">
        <f>IF(A53="","",IFERROR(VLOOKUP(A53,EQUIPEMENTS!A:M,13,0),""))</f>
        <v/>
      </c>
      <c r="E53" s="87">
        <f>IF(A53="","",COUNTIFS(MAINT_PREV!B:B,A53,MAINT_PREV!G:G,"Planifiée",MAINT_PREV!E:E,"&lt;"&amp;TODAY(),MAINT_PREV!H:H,""))</f>
        <v/>
      </c>
      <c r="F53" s="87">
        <f>IF(A53="","",COUNTIFS(INTERVENTIONS!B:B,A53,INTERVENTIONS!L:L,"Ouverte"))</f>
        <v/>
      </c>
      <c r="G53" s="87">
        <f>IF(A53="","",COUNTIFS(COMPOSANTS!B:B,A53,COMPOSANTS!G:G,"Défectueux"))</f>
        <v/>
      </c>
      <c r="H53" s="87">
        <f>IF(A53="","",IFERROR(VLOOKUP(A53,EQUIPEMENTS!A:R,18,0),""))</f>
        <v/>
      </c>
      <c r="I53" s="87">
        <f>IF(A53="","",IF(AND(C53="Haute",D53="En panne"),"🔴 CRITIQUE",IF(OR(E53&gt;0,F53&gt;0,G53&gt;0),"🟠 ATTENTION","🟢 OK")))</f>
        <v/>
      </c>
      <c r="J53" s="87">
        <f>IF(A53="","",IFERROR(VLOOKUP(A53,EQUIPEMENTS!A:Q,17,0),""))</f>
        <v/>
      </c>
      <c r="K53" s="87" t="n"/>
    </row>
    <row r="54" ht="15" customHeight="1" s="59">
      <c r="A54" s="84">
        <f>IFERROR(EQUIPEMENTS!A54,"")</f>
        <v/>
      </c>
      <c r="B54" s="84">
        <f>IF(A54="","",IFERROR(VLOOKUP(A54,EQUIPEMENTS!A:B,2,0),""))</f>
        <v/>
      </c>
      <c r="C54" s="84">
        <f>IF(A54="","",IFERROR(VLOOKUP(A54,EQUIPEMENTS!A:D,4,0),""))</f>
        <v/>
      </c>
      <c r="D54" s="84">
        <f>IF(A54="","",IFERROR(VLOOKUP(A54,EQUIPEMENTS!A:M,13,0),""))</f>
        <v/>
      </c>
      <c r="E54" s="84">
        <f>IF(A54="","",COUNTIFS(MAINT_PREV!B:B,A54,MAINT_PREV!G:G,"Planifiée",MAINT_PREV!E:E,"&lt;"&amp;TODAY(),MAINT_PREV!H:H,""))</f>
        <v/>
      </c>
      <c r="F54" s="84">
        <f>IF(A54="","",COUNTIFS(INTERVENTIONS!B:B,A54,INTERVENTIONS!L:L,"Ouverte"))</f>
        <v/>
      </c>
      <c r="G54" s="84">
        <f>IF(A54="","",COUNTIFS(COMPOSANTS!B:B,A54,COMPOSANTS!G:G,"Défectueux"))</f>
        <v/>
      </c>
      <c r="H54" s="84">
        <f>IF(A54="","",IFERROR(VLOOKUP(A54,EQUIPEMENTS!A:R,18,0),""))</f>
        <v/>
      </c>
      <c r="I54" s="84">
        <f>IF(A54="","",IF(AND(C54="Haute",D54="En panne"),"🔴 CRITIQUE",IF(OR(E54&gt;0,F54&gt;0,G54&gt;0),"🟠 ATTENTION","🟢 OK")))</f>
        <v/>
      </c>
      <c r="J54" s="84">
        <f>IF(A54="","",IFERROR(VLOOKUP(A54,EQUIPEMENTS!A:Q,17,0),""))</f>
        <v/>
      </c>
      <c r="K54" s="84" t="n"/>
    </row>
    <row r="55" ht="15" customHeight="1" s="59">
      <c r="A55" s="87">
        <f>IFERROR(EQUIPEMENTS!A55,"")</f>
        <v/>
      </c>
      <c r="B55" s="87">
        <f>IF(A55="","",IFERROR(VLOOKUP(A55,EQUIPEMENTS!A:B,2,0),""))</f>
        <v/>
      </c>
      <c r="C55" s="87">
        <f>IF(A55="","",IFERROR(VLOOKUP(A55,EQUIPEMENTS!A:D,4,0),""))</f>
        <v/>
      </c>
      <c r="D55" s="87">
        <f>IF(A55="","",IFERROR(VLOOKUP(A55,EQUIPEMENTS!A:M,13,0),""))</f>
        <v/>
      </c>
      <c r="E55" s="87">
        <f>IF(A55="","",COUNTIFS(MAINT_PREV!B:B,A55,MAINT_PREV!G:G,"Planifiée",MAINT_PREV!E:E,"&lt;"&amp;TODAY(),MAINT_PREV!H:H,""))</f>
        <v/>
      </c>
      <c r="F55" s="87">
        <f>IF(A55="","",COUNTIFS(INTERVENTIONS!B:B,A55,INTERVENTIONS!L:L,"Ouverte"))</f>
        <v/>
      </c>
      <c r="G55" s="87">
        <f>IF(A55="","",COUNTIFS(COMPOSANTS!B:B,A55,COMPOSANTS!G:G,"Défectueux"))</f>
        <v/>
      </c>
      <c r="H55" s="87">
        <f>IF(A55="","",IFERROR(VLOOKUP(A55,EQUIPEMENTS!A:R,18,0),""))</f>
        <v/>
      </c>
      <c r="I55" s="87">
        <f>IF(A55="","",IF(AND(C55="Haute",D55="En panne"),"🔴 CRITIQUE",IF(OR(E55&gt;0,F55&gt;0,G55&gt;0),"🟠 ATTENTION","🟢 OK")))</f>
        <v/>
      </c>
      <c r="J55" s="87">
        <f>IF(A55="","",IFERROR(VLOOKUP(A55,EQUIPEMENTS!A:Q,17,0),""))</f>
        <v/>
      </c>
      <c r="K55" s="87" t="n"/>
    </row>
    <row r="56" ht="15" customHeight="1" s="59">
      <c r="A56" s="84">
        <f>IFERROR(EQUIPEMENTS!A56,"")</f>
        <v/>
      </c>
      <c r="B56" s="84">
        <f>IF(A56="","",IFERROR(VLOOKUP(A56,EQUIPEMENTS!A:B,2,0),""))</f>
        <v/>
      </c>
      <c r="C56" s="84">
        <f>IF(A56="","",IFERROR(VLOOKUP(A56,EQUIPEMENTS!A:D,4,0),""))</f>
        <v/>
      </c>
      <c r="D56" s="84">
        <f>IF(A56="","",IFERROR(VLOOKUP(A56,EQUIPEMENTS!A:M,13,0),""))</f>
        <v/>
      </c>
      <c r="E56" s="84">
        <f>IF(A56="","",COUNTIFS(MAINT_PREV!B:B,A56,MAINT_PREV!G:G,"Planifiée",MAINT_PREV!E:E,"&lt;"&amp;TODAY(),MAINT_PREV!H:H,""))</f>
        <v/>
      </c>
      <c r="F56" s="84">
        <f>IF(A56="","",COUNTIFS(INTERVENTIONS!B:B,A56,INTERVENTIONS!L:L,"Ouverte"))</f>
        <v/>
      </c>
      <c r="G56" s="84">
        <f>IF(A56="","",COUNTIFS(COMPOSANTS!B:B,A56,COMPOSANTS!G:G,"Défectueux"))</f>
        <v/>
      </c>
      <c r="H56" s="84">
        <f>IF(A56="","",IFERROR(VLOOKUP(A56,EQUIPEMENTS!A:R,18,0),""))</f>
        <v/>
      </c>
      <c r="I56" s="84">
        <f>IF(A56="","",IF(AND(C56="Haute",D56="En panne"),"🔴 CRITIQUE",IF(OR(E56&gt;0,F56&gt;0,G56&gt;0),"🟠 ATTENTION","🟢 OK")))</f>
        <v/>
      </c>
      <c r="J56" s="84">
        <f>IF(A56="","",IFERROR(VLOOKUP(A56,EQUIPEMENTS!A:Q,17,0),""))</f>
        <v/>
      </c>
      <c r="K56" s="84" t="n"/>
    </row>
    <row r="57" ht="15" customHeight="1" s="59">
      <c r="A57" s="87">
        <f>IFERROR(EQUIPEMENTS!A57,"")</f>
        <v/>
      </c>
      <c r="B57" s="87">
        <f>IF(A57="","",IFERROR(VLOOKUP(A57,EQUIPEMENTS!A:B,2,0),""))</f>
        <v/>
      </c>
      <c r="C57" s="87">
        <f>IF(A57="","",IFERROR(VLOOKUP(A57,EQUIPEMENTS!A:D,4,0),""))</f>
        <v/>
      </c>
      <c r="D57" s="87">
        <f>IF(A57="","",IFERROR(VLOOKUP(A57,EQUIPEMENTS!A:M,13,0),""))</f>
        <v/>
      </c>
      <c r="E57" s="87">
        <f>IF(A57="","",COUNTIFS(MAINT_PREV!B:B,A57,MAINT_PREV!G:G,"Planifiée",MAINT_PREV!E:E,"&lt;"&amp;TODAY(),MAINT_PREV!H:H,""))</f>
        <v/>
      </c>
      <c r="F57" s="87">
        <f>IF(A57="","",COUNTIFS(INTERVENTIONS!B:B,A57,INTERVENTIONS!L:L,"Ouverte"))</f>
        <v/>
      </c>
      <c r="G57" s="87">
        <f>IF(A57="","",COUNTIFS(COMPOSANTS!B:B,A57,COMPOSANTS!G:G,"Défectueux"))</f>
        <v/>
      </c>
      <c r="H57" s="87">
        <f>IF(A57="","",IFERROR(VLOOKUP(A57,EQUIPEMENTS!A:R,18,0),""))</f>
        <v/>
      </c>
      <c r="I57" s="87">
        <f>IF(A57="","",IF(AND(C57="Haute",D57="En panne"),"🔴 CRITIQUE",IF(OR(E57&gt;0,F57&gt;0,G57&gt;0),"🟠 ATTENTION","🟢 OK")))</f>
        <v/>
      </c>
      <c r="J57" s="87">
        <f>IF(A57="","",IFERROR(VLOOKUP(A57,EQUIPEMENTS!A:Q,17,0),""))</f>
        <v/>
      </c>
      <c r="K57" s="87" t="n"/>
    </row>
    <row r="58" ht="15" customHeight="1" s="59">
      <c r="A58" s="84">
        <f>IFERROR(EQUIPEMENTS!A58,"")</f>
        <v/>
      </c>
      <c r="B58" s="84">
        <f>IF(A58="","",IFERROR(VLOOKUP(A58,EQUIPEMENTS!A:B,2,0),""))</f>
        <v/>
      </c>
      <c r="C58" s="84">
        <f>IF(A58="","",IFERROR(VLOOKUP(A58,EQUIPEMENTS!A:D,4,0),""))</f>
        <v/>
      </c>
      <c r="D58" s="84">
        <f>IF(A58="","",IFERROR(VLOOKUP(A58,EQUIPEMENTS!A:M,13,0),""))</f>
        <v/>
      </c>
      <c r="E58" s="84">
        <f>IF(A58="","",COUNTIFS(MAINT_PREV!B:B,A58,MAINT_PREV!G:G,"Planifiée",MAINT_PREV!E:E,"&lt;"&amp;TODAY(),MAINT_PREV!H:H,""))</f>
        <v/>
      </c>
      <c r="F58" s="84">
        <f>IF(A58="","",COUNTIFS(INTERVENTIONS!B:B,A58,INTERVENTIONS!L:L,"Ouverte"))</f>
        <v/>
      </c>
      <c r="G58" s="84">
        <f>IF(A58="","",COUNTIFS(COMPOSANTS!B:B,A58,COMPOSANTS!G:G,"Défectueux"))</f>
        <v/>
      </c>
      <c r="H58" s="84">
        <f>IF(A58="","",IFERROR(VLOOKUP(A58,EQUIPEMENTS!A:R,18,0),""))</f>
        <v/>
      </c>
      <c r="I58" s="84">
        <f>IF(A58="","",IF(AND(C58="Haute",D58="En panne"),"🔴 CRITIQUE",IF(OR(E58&gt;0,F58&gt;0,G58&gt;0),"🟠 ATTENTION","🟢 OK")))</f>
        <v/>
      </c>
      <c r="J58" s="84">
        <f>IF(A58="","",IFERROR(VLOOKUP(A58,EQUIPEMENTS!A:Q,17,0),""))</f>
        <v/>
      </c>
      <c r="K58" s="84" t="n"/>
    </row>
    <row r="59" ht="15" customHeight="1" s="59">
      <c r="A59" s="87">
        <f>IFERROR(EQUIPEMENTS!A59,"")</f>
        <v/>
      </c>
      <c r="B59" s="87">
        <f>IF(A59="","",IFERROR(VLOOKUP(A59,EQUIPEMENTS!A:B,2,0),""))</f>
        <v/>
      </c>
      <c r="C59" s="87">
        <f>IF(A59="","",IFERROR(VLOOKUP(A59,EQUIPEMENTS!A:D,4,0),""))</f>
        <v/>
      </c>
      <c r="D59" s="87">
        <f>IF(A59="","",IFERROR(VLOOKUP(A59,EQUIPEMENTS!A:M,13,0),""))</f>
        <v/>
      </c>
      <c r="E59" s="87">
        <f>IF(A59="","",COUNTIFS(MAINT_PREV!B:B,A59,MAINT_PREV!G:G,"Planifiée",MAINT_PREV!E:E,"&lt;"&amp;TODAY(),MAINT_PREV!H:H,""))</f>
        <v/>
      </c>
      <c r="F59" s="87">
        <f>IF(A59="","",COUNTIFS(INTERVENTIONS!B:B,A59,INTERVENTIONS!L:L,"Ouverte"))</f>
        <v/>
      </c>
      <c r="G59" s="87">
        <f>IF(A59="","",COUNTIFS(COMPOSANTS!B:B,A59,COMPOSANTS!G:G,"Défectueux"))</f>
        <v/>
      </c>
      <c r="H59" s="87">
        <f>IF(A59="","",IFERROR(VLOOKUP(A59,EQUIPEMENTS!A:R,18,0),""))</f>
        <v/>
      </c>
      <c r="I59" s="87">
        <f>IF(A59="","",IF(AND(C59="Haute",D59="En panne"),"🔴 CRITIQUE",IF(OR(E59&gt;0,F59&gt;0,G59&gt;0),"🟠 ATTENTION","🟢 OK")))</f>
        <v/>
      </c>
      <c r="J59" s="87">
        <f>IF(A59="","",IFERROR(VLOOKUP(A59,EQUIPEMENTS!A:Q,17,0),""))</f>
        <v/>
      </c>
      <c r="K59" s="87" t="n"/>
    </row>
    <row r="60" ht="15" customHeight="1" s="59">
      <c r="A60" s="84">
        <f>IFERROR(EQUIPEMENTS!A60,"")</f>
        <v/>
      </c>
      <c r="B60" s="84">
        <f>IF(A60="","",IFERROR(VLOOKUP(A60,EQUIPEMENTS!A:B,2,0),""))</f>
        <v/>
      </c>
      <c r="C60" s="84">
        <f>IF(A60="","",IFERROR(VLOOKUP(A60,EQUIPEMENTS!A:D,4,0),""))</f>
        <v/>
      </c>
      <c r="D60" s="84">
        <f>IF(A60="","",IFERROR(VLOOKUP(A60,EQUIPEMENTS!A:M,13,0),""))</f>
        <v/>
      </c>
      <c r="E60" s="84">
        <f>IF(A60="","",COUNTIFS(MAINT_PREV!B:B,A60,MAINT_PREV!G:G,"Planifiée",MAINT_PREV!E:E,"&lt;"&amp;TODAY(),MAINT_PREV!H:H,""))</f>
        <v/>
      </c>
      <c r="F60" s="84">
        <f>IF(A60="","",COUNTIFS(INTERVENTIONS!B:B,A60,INTERVENTIONS!L:L,"Ouverte"))</f>
        <v/>
      </c>
      <c r="G60" s="84">
        <f>IF(A60="","",COUNTIFS(COMPOSANTS!B:B,A60,COMPOSANTS!G:G,"Défectueux"))</f>
        <v/>
      </c>
      <c r="H60" s="84">
        <f>IF(A60="","",IFERROR(VLOOKUP(A60,EQUIPEMENTS!A:R,18,0),""))</f>
        <v/>
      </c>
      <c r="I60" s="84">
        <f>IF(A60="","",IF(AND(C60="Haute",D60="En panne"),"🔴 CRITIQUE",IF(OR(E60&gt;0,F60&gt;0,G60&gt;0),"🟠 ATTENTION","🟢 OK")))</f>
        <v/>
      </c>
      <c r="J60" s="84">
        <f>IF(A60="","",IFERROR(VLOOKUP(A60,EQUIPEMENTS!A:Q,17,0),""))</f>
        <v/>
      </c>
      <c r="K60" s="84" t="n"/>
    </row>
    <row r="61" ht="15" customHeight="1" s="59">
      <c r="A61" s="87">
        <f>IFERROR(EQUIPEMENTS!A61,"")</f>
        <v/>
      </c>
      <c r="B61" s="87">
        <f>IF(A61="","",IFERROR(VLOOKUP(A61,EQUIPEMENTS!A:B,2,0),""))</f>
        <v/>
      </c>
      <c r="C61" s="87">
        <f>IF(A61="","",IFERROR(VLOOKUP(A61,EQUIPEMENTS!A:D,4,0),""))</f>
        <v/>
      </c>
      <c r="D61" s="87">
        <f>IF(A61="","",IFERROR(VLOOKUP(A61,EQUIPEMENTS!A:M,13,0),""))</f>
        <v/>
      </c>
      <c r="E61" s="87">
        <f>IF(A61="","",COUNTIFS(MAINT_PREV!B:B,A61,MAINT_PREV!G:G,"Planifiée",MAINT_PREV!E:E,"&lt;"&amp;TODAY(),MAINT_PREV!H:H,""))</f>
        <v/>
      </c>
      <c r="F61" s="87">
        <f>IF(A61="","",COUNTIFS(INTERVENTIONS!B:B,A61,INTERVENTIONS!L:L,"Ouverte"))</f>
        <v/>
      </c>
      <c r="G61" s="87">
        <f>IF(A61="","",COUNTIFS(COMPOSANTS!B:B,A61,COMPOSANTS!G:G,"Défectueux"))</f>
        <v/>
      </c>
      <c r="H61" s="87">
        <f>IF(A61="","",IFERROR(VLOOKUP(A61,EQUIPEMENTS!A:R,18,0),""))</f>
        <v/>
      </c>
      <c r="I61" s="87">
        <f>IF(A61="","",IF(AND(C61="Haute",D61="En panne"),"🔴 CRITIQUE",IF(OR(E61&gt;0,F61&gt;0,G61&gt;0),"🟠 ATTENTION","🟢 OK")))</f>
        <v/>
      </c>
      <c r="J61" s="87">
        <f>IF(A61="","",IFERROR(VLOOKUP(A61,EQUIPEMENTS!A:Q,17,0),""))</f>
        <v/>
      </c>
      <c r="K61" s="87" t="n"/>
    </row>
    <row r="62" ht="15" customHeight="1" s="59">
      <c r="A62" s="84">
        <f>IFERROR(EQUIPEMENTS!A62,"")</f>
        <v/>
      </c>
      <c r="B62" s="84">
        <f>IF(A62="","",IFERROR(VLOOKUP(A62,EQUIPEMENTS!A:B,2,0),""))</f>
        <v/>
      </c>
      <c r="C62" s="84">
        <f>IF(A62="","",IFERROR(VLOOKUP(A62,EQUIPEMENTS!A:D,4,0),""))</f>
        <v/>
      </c>
      <c r="D62" s="84">
        <f>IF(A62="","",IFERROR(VLOOKUP(A62,EQUIPEMENTS!A:M,13,0),""))</f>
        <v/>
      </c>
      <c r="E62" s="84">
        <f>IF(A62="","",COUNTIFS(MAINT_PREV!B:B,A62,MAINT_PREV!G:G,"Planifiée",MAINT_PREV!E:E,"&lt;"&amp;TODAY(),MAINT_PREV!H:H,""))</f>
        <v/>
      </c>
      <c r="F62" s="84">
        <f>IF(A62="","",COUNTIFS(INTERVENTIONS!B:B,A62,INTERVENTIONS!L:L,"Ouverte"))</f>
        <v/>
      </c>
      <c r="G62" s="84">
        <f>IF(A62="","",COUNTIFS(COMPOSANTS!B:B,A62,COMPOSANTS!G:G,"Défectueux"))</f>
        <v/>
      </c>
      <c r="H62" s="84">
        <f>IF(A62="","",IFERROR(VLOOKUP(A62,EQUIPEMENTS!A:R,18,0),""))</f>
        <v/>
      </c>
      <c r="I62" s="84">
        <f>IF(A62="","",IF(AND(C62="Haute",D62="En panne"),"🔴 CRITIQUE",IF(OR(E62&gt;0,F62&gt;0,G62&gt;0),"🟠 ATTENTION","🟢 OK")))</f>
        <v/>
      </c>
      <c r="J62" s="84">
        <f>IF(A62="","",IFERROR(VLOOKUP(A62,EQUIPEMENTS!A:Q,17,0),""))</f>
        <v/>
      </c>
      <c r="K62" s="84" t="n"/>
    </row>
    <row r="63" ht="15" customHeight="1" s="59">
      <c r="A63" s="87">
        <f>IFERROR(EQUIPEMENTS!A63,"")</f>
        <v/>
      </c>
      <c r="B63" s="87">
        <f>IF(A63="","",IFERROR(VLOOKUP(A63,EQUIPEMENTS!A:B,2,0),""))</f>
        <v/>
      </c>
      <c r="C63" s="87">
        <f>IF(A63="","",IFERROR(VLOOKUP(A63,EQUIPEMENTS!A:D,4,0),""))</f>
        <v/>
      </c>
      <c r="D63" s="87">
        <f>IF(A63="","",IFERROR(VLOOKUP(A63,EQUIPEMENTS!A:M,13,0),""))</f>
        <v/>
      </c>
      <c r="E63" s="87">
        <f>IF(A63="","",COUNTIFS(MAINT_PREV!B:B,A63,MAINT_PREV!G:G,"Planifiée",MAINT_PREV!E:E,"&lt;"&amp;TODAY(),MAINT_PREV!H:H,""))</f>
        <v/>
      </c>
      <c r="F63" s="87">
        <f>IF(A63="","",COUNTIFS(INTERVENTIONS!B:B,A63,INTERVENTIONS!L:L,"Ouverte"))</f>
        <v/>
      </c>
      <c r="G63" s="87">
        <f>IF(A63="","",COUNTIFS(COMPOSANTS!B:B,A63,COMPOSANTS!G:G,"Défectueux"))</f>
        <v/>
      </c>
      <c r="H63" s="87">
        <f>IF(A63="","",IFERROR(VLOOKUP(A63,EQUIPEMENTS!A:R,18,0),""))</f>
        <v/>
      </c>
      <c r="I63" s="87">
        <f>IF(A63="","",IF(AND(C63="Haute",D63="En panne"),"🔴 CRITIQUE",IF(OR(E63&gt;0,F63&gt;0,G63&gt;0),"🟠 ATTENTION","🟢 OK")))</f>
        <v/>
      </c>
      <c r="J63" s="87">
        <f>IF(A63="","",IFERROR(VLOOKUP(A63,EQUIPEMENTS!A:Q,17,0),""))</f>
        <v/>
      </c>
      <c r="K63" s="87" t="n"/>
    </row>
    <row r="64" ht="15" customHeight="1" s="59">
      <c r="A64" s="84">
        <f>IFERROR(EQUIPEMENTS!A64,"")</f>
        <v/>
      </c>
      <c r="B64" s="84">
        <f>IF(A64="","",IFERROR(VLOOKUP(A64,EQUIPEMENTS!A:B,2,0),""))</f>
        <v/>
      </c>
      <c r="C64" s="84">
        <f>IF(A64="","",IFERROR(VLOOKUP(A64,EQUIPEMENTS!A:D,4,0),""))</f>
        <v/>
      </c>
      <c r="D64" s="84">
        <f>IF(A64="","",IFERROR(VLOOKUP(A64,EQUIPEMENTS!A:M,13,0),""))</f>
        <v/>
      </c>
      <c r="E64" s="84">
        <f>IF(A64="","",COUNTIFS(MAINT_PREV!B:B,A64,MAINT_PREV!G:G,"Planifiée",MAINT_PREV!E:E,"&lt;"&amp;TODAY(),MAINT_PREV!H:H,""))</f>
        <v/>
      </c>
      <c r="F64" s="84">
        <f>IF(A64="","",COUNTIFS(INTERVENTIONS!B:B,A64,INTERVENTIONS!L:L,"Ouverte"))</f>
        <v/>
      </c>
      <c r="G64" s="84">
        <f>IF(A64="","",COUNTIFS(COMPOSANTS!B:B,A64,COMPOSANTS!G:G,"Défectueux"))</f>
        <v/>
      </c>
      <c r="H64" s="84">
        <f>IF(A64="","",IFERROR(VLOOKUP(A64,EQUIPEMENTS!A:R,18,0),""))</f>
        <v/>
      </c>
      <c r="I64" s="84">
        <f>IF(A64="","",IF(AND(C64="Haute",D64="En panne"),"🔴 CRITIQUE",IF(OR(E64&gt;0,F64&gt;0,G64&gt;0),"🟠 ATTENTION","🟢 OK")))</f>
        <v/>
      </c>
      <c r="J64" s="84">
        <f>IF(A64="","",IFERROR(VLOOKUP(A64,EQUIPEMENTS!A:Q,17,0),""))</f>
        <v/>
      </c>
      <c r="K64" s="84" t="n"/>
    </row>
    <row r="65" ht="15" customHeight="1" s="59">
      <c r="A65" s="87">
        <f>IFERROR(EQUIPEMENTS!A65,"")</f>
        <v/>
      </c>
      <c r="B65" s="87">
        <f>IF(A65="","",IFERROR(VLOOKUP(A65,EQUIPEMENTS!A:B,2,0),""))</f>
        <v/>
      </c>
      <c r="C65" s="87">
        <f>IF(A65="","",IFERROR(VLOOKUP(A65,EQUIPEMENTS!A:D,4,0),""))</f>
        <v/>
      </c>
      <c r="D65" s="87">
        <f>IF(A65="","",IFERROR(VLOOKUP(A65,EQUIPEMENTS!A:M,13,0),""))</f>
        <v/>
      </c>
      <c r="E65" s="87">
        <f>IF(A65="","",COUNTIFS(MAINT_PREV!B:B,A65,MAINT_PREV!G:G,"Planifiée",MAINT_PREV!E:E,"&lt;"&amp;TODAY(),MAINT_PREV!H:H,""))</f>
        <v/>
      </c>
      <c r="F65" s="87">
        <f>IF(A65="","",COUNTIFS(INTERVENTIONS!B:B,A65,INTERVENTIONS!L:L,"Ouverte"))</f>
        <v/>
      </c>
      <c r="G65" s="87">
        <f>IF(A65="","",COUNTIFS(COMPOSANTS!B:B,A65,COMPOSANTS!G:G,"Défectueux"))</f>
        <v/>
      </c>
      <c r="H65" s="87">
        <f>IF(A65="","",IFERROR(VLOOKUP(A65,EQUIPEMENTS!A:R,18,0),""))</f>
        <v/>
      </c>
      <c r="I65" s="87">
        <f>IF(A65="","",IF(AND(C65="Haute",D65="En panne"),"🔴 CRITIQUE",IF(OR(E65&gt;0,F65&gt;0,G65&gt;0),"🟠 ATTENTION","🟢 OK")))</f>
        <v/>
      </c>
      <c r="J65" s="87">
        <f>IF(A65="","",IFERROR(VLOOKUP(A65,EQUIPEMENTS!A:Q,17,0),""))</f>
        <v/>
      </c>
      <c r="K65" s="87" t="n"/>
    </row>
    <row r="66" ht="15" customHeight="1" s="59">
      <c r="A66" s="84">
        <f>IFERROR(EQUIPEMENTS!A66,"")</f>
        <v/>
      </c>
      <c r="B66" s="84">
        <f>IF(A66="","",IFERROR(VLOOKUP(A66,EQUIPEMENTS!A:B,2,0),""))</f>
        <v/>
      </c>
      <c r="C66" s="84">
        <f>IF(A66="","",IFERROR(VLOOKUP(A66,EQUIPEMENTS!A:D,4,0),""))</f>
        <v/>
      </c>
      <c r="D66" s="84">
        <f>IF(A66="","",IFERROR(VLOOKUP(A66,EQUIPEMENTS!A:M,13,0),""))</f>
        <v/>
      </c>
      <c r="E66" s="84">
        <f>IF(A66="","",COUNTIFS(MAINT_PREV!B:B,A66,MAINT_PREV!G:G,"Planifiée",MAINT_PREV!E:E,"&lt;"&amp;TODAY(),MAINT_PREV!H:H,""))</f>
        <v/>
      </c>
      <c r="F66" s="84">
        <f>IF(A66="","",COUNTIFS(INTERVENTIONS!B:B,A66,INTERVENTIONS!L:L,"Ouverte"))</f>
        <v/>
      </c>
      <c r="G66" s="84">
        <f>IF(A66="","",COUNTIFS(COMPOSANTS!B:B,A66,COMPOSANTS!G:G,"Défectueux"))</f>
        <v/>
      </c>
      <c r="H66" s="84">
        <f>IF(A66="","",IFERROR(VLOOKUP(A66,EQUIPEMENTS!A:R,18,0),""))</f>
        <v/>
      </c>
      <c r="I66" s="84">
        <f>IF(A66="","",IF(AND(C66="Haute",D66="En panne"),"🔴 CRITIQUE",IF(OR(E66&gt;0,F66&gt;0,G66&gt;0),"🟠 ATTENTION","🟢 OK")))</f>
        <v/>
      </c>
      <c r="J66" s="84">
        <f>IF(A66="","",IFERROR(VLOOKUP(A66,EQUIPEMENTS!A:Q,17,0),""))</f>
        <v/>
      </c>
      <c r="K66" s="84" t="n"/>
    </row>
    <row r="67" ht="15" customHeight="1" s="59">
      <c r="A67" s="87">
        <f>IFERROR(EQUIPEMENTS!A67,"")</f>
        <v/>
      </c>
      <c r="B67" s="87">
        <f>IF(A67="","",IFERROR(VLOOKUP(A67,EQUIPEMENTS!A:B,2,0),""))</f>
        <v/>
      </c>
      <c r="C67" s="87">
        <f>IF(A67="","",IFERROR(VLOOKUP(A67,EQUIPEMENTS!A:D,4,0),""))</f>
        <v/>
      </c>
      <c r="D67" s="87">
        <f>IF(A67="","",IFERROR(VLOOKUP(A67,EQUIPEMENTS!A:M,13,0),""))</f>
        <v/>
      </c>
      <c r="E67" s="87">
        <f>IF(A67="","",COUNTIFS(MAINT_PREV!B:B,A67,MAINT_PREV!G:G,"Planifiée",MAINT_PREV!E:E,"&lt;"&amp;TODAY(),MAINT_PREV!H:H,""))</f>
        <v/>
      </c>
      <c r="F67" s="87">
        <f>IF(A67="","",COUNTIFS(INTERVENTIONS!B:B,A67,INTERVENTIONS!L:L,"Ouverte"))</f>
        <v/>
      </c>
      <c r="G67" s="87">
        <f>IF(A67="","",COUNTIFS(COMPOSANTS!B:B,A67,COMPOSANTS!G:G,"Défectueux"))</f>
        <v/>
      </c>
      <c r="H67" s="87">
        <f>IF(A67="","",IFERROR(VLOOKUP(A67,EQUIPEMENTS!A:R,18,0),""))</f>
        <v/>
      </c>
      <c r="I67" s="87">
        <f>IF(A67="","",IF(AND(C67="Haute",D67="En panne"),"🔴 CRITIQUE",IF(OR(E67&gt;0,F67&gt;0,G67&gt;0),"🟠 ATTENTION","🟢 OK")))</f>
        <v/>
      </c>
      <c r="J67" s="87">
        <f>IF(A67="","",IFERROR(VLOOKUP(A67,EQUIPEMENTS!A:Q,17,0),""))</f>
        <v/>
      </c>
      <c r="K67" s="87" t="n"/>
    </row>
    <row r="68" ht="15" customHeight="1" s="59">
      <c r="A68" s="84">
        <f>IFERROR(EQUIPEMENTS!A68,"")</f>
        <v/>
      </c>
      <c r="B68" s="84">
        <f>IF(A68="","",IFERROR(VLOOKUP(A68,EQUIPEMENTS!A:B,2,0),""))</f>
        <v/>
      </c>
      <c r="C68" s="84">
        <f>IF(A68="","",IFERROR(VLOOKUP(A68,EQUIPEMENTS!A:D,4,0),""))</f>
        <v/>
      </c>
      <c r="D68" s="84">
        <f>IF(A68="","",IFERROR(VLOOKUP(A68,EQUIPEMENTS!A:M,13,0),""))</f>
        <v/>
      </c>
      <c r="E68" s="84">
        <f>IF(A68="","",COUNTIFS(MAINT_PREV!B:B,A68,MAINT_PREV!G:G,"Planifiée",MAINT_PREV!E:E,"&lt;"&amp;TODAY(),MAINT_PREV!H:H,""))</f>
        <v/>
      </c>
      <c r="F68" s="84">
        <f>IF(A68="","",COUNTIFS(INTERVENTIONS!B:B,A68,INTERVENTIONS!L:L,"Ouverte"))</f>
        <v/>
      </c>
      <c r="G68" s="84">
        <f>IF(A68="","",COUNTIFS(COMPOSANTS!B:B,A68,COMPOSANTS!G:G,"Défectueux"))</f>
        <v/>
      </c>
      <c r="H68" s="84">
        <f>IF(A68="","",IFERROR(VLOOKUP(A68,EQUIPEMENTS!A:R,18,0),""))</f>
        <v/>
      </c>
      <c r="I68" s="84">
        <f>IF(A68="","",IF(AND(C68="Haute",D68="En panne"),"🔴 CRITIQUE",IF(OR(E68&gt;0,F68&gt;0,G68&gt;0),"🟠 ATTENTION","🟢 OK")))</f>
        <v/>
      </c>
      <c r="J68" s="84">
        <f>IF(A68="","",IFERROR(VLOOKUP(A68,EQUIPEMENTS!A:Q,17,0),""))</f>
        <v/>
      </c>
      <c r="K68" s="84" t="n"/>
    </row>
    <row r="69" ht="15" customHeight="1" s="59">
      <c r="A69" s="87">
        <f>IFERROR(EQUIPEMENTS!A69,"")</f>
        <v/>
      </c>
      <c r="B69" s="87">
        <f>IF(A69="","",IFERROR(VLOOKUP(A69,EQUIPEMENTS!A:B,2,0),""))</f>
        <v/>
      </c>
      <c r="C69" s="87">
        <f>IF(A69="","",IFERROR(VLOOKUP(A69,EQUIPEMENTS!A:D,4,0),""))</f>
        <v/>
      </c>
      <c r="D69" s="87">
        <f>IF(A69="","",IFERROR(VLOOKUP(A69,EQUIPEMENTS!A:M,13,0),""))</f>
        <v/>
      </c>
      <c r="E69" s="87">
        <f>IF(A69="","",COUNTIFS(MAINT_PREV!B:B,A69,MAINT_PREV!G:G,"Planifiée",MAINT_PREV!E:E,"&lt;"&amp;TODAY(),MAINT_PREV!H:H,""))</f>
        <v/>
      </c>
      <c r="F69" s="87">
        <f>IF(A69="","",COUNTIFS(INTERVENTIONS!B:B,A69,INTERVENTIONS!L:L,"Ouverte"))</f>
        <v/>
      </c>
      <c r="G69" s="87">
        <f>IF(A69="","",COUNTIFS(COMPOSANTS!B:B,A69,COMPOSANTS!G:G,"Défectueux"))</f>
        <v/>
      </c>
      <c r="H69" s="87">
        <f>IF(A69="","",IFERROR(VLOOKUP(A69,EQUIPEMENTS!A:R,18,0),""))</f>
        <v/>
      </c>
      <c r="I69" s="87">
        <f>IF(A69="","",IF(AND(C69="Haute",D69="En panne"),"🔴 CRITIQUE",IF(OR(E69&gt;0,F69&gt;0,G69&gt;0),"🟠 ATTENTION","🟢 OK")))</f>
        <v/>
      </c>
      <c r="J69" s="87">
        <f>IF(A69="","",IFERROR(VLOOKUP(A69,EQUIPEMENTS!A:Q,17,0),""))</f>
        <v/>
      </c>
      <c r="K69" s="87" t="n"/>
    </row>
    <row r="70" ht="15" customHeight="1" s="59">
      <c r="A70" s="84">
        <f>IFERROR(EQUIPEMENTS!A70,"")</f>
        <v/>
      </c>
      <c r="B70" s="84">
        <f>IF(A70="","",IFERROR(VLOOKUP(A70,EQUIPEMENTS!A:B,2,0),""))</f>
        <v/>
      </c>
      <c r="C70" s="84">
        <f>IF(A70="","",IFERROR(VLOOKUP(A70,EQUIPEMENTS!A:D,4,0),""))</f>
        <v/>
      </c>
      <c r="D70" s="84">
        <f>IF(A70="","",IFERROR(VLOOKUP(A70,EQUIPEMENTS!A:M,13,0),""))</f>
        <v/>
      </c>
      <c r="E70" s="84">
        <f>IF(A70="","",COUNTIFS(MAINT_PREV!B:B,A70,MAINT_PREV!G:G,"Planifiée",MAINT_PREV!E:E,"&lt;"&amp;TODAY(),MAINT_PREV!H:H,""))</f>
        <v/>
      </c>
      <c r="F70" s="84">
        <f>IF(A70="","",COUNTIFS(INTERVENTIONS!B:B,A70,INTERVENTIONS!L:L,"Ouverte"))</f>
        <v/>
      </c>
      <c r="G70" s="84">
        <f>IF(A70="","",COUNTIFS(COMPOSANTS!B:B,A70,COMPOSANTS!G:G,"Défectueux"))</f>
        <v/>
      </c>
      <c r="H70" s="84">
        <f>IF(A70="","",IFERROR(VLOOKUP(A70,EQUIPEMENTS!A:R,18,0),""))</f>
        <v/>
      </c>
      <c r="I70" s="84">
        <f>IF(A70="","",IF(AND(C70="Haute",D70="En panne"),"🔴 CRITIQUE",IF(OR(E70&gt;0,F70&gt;0,G70&gt;0),"🟠 ATTENTION","🟢 OK")))</f>
        <v/>
      </c>
      <c r="J70" s="84">
        <f>IF(A70="","",IFERROR(VLOOKUP(A70,EQUIPEMENTS!A:Q,17,0),""))</f>
        <v/>
      </c>
      <c r="K70" s="84" t="n"/>
    </row>
    <row r="71" ht="15" customHeight="1" s="59">
      <c r="A71" s="87">
        <f>IFERROR(EQUIPEMENTS!A71,"")</f>
        <v/>
      </c>
      <c r="B71" s="87">
        <f>IF(A71="","",IFERROR(VLOOKUP(A71,EQUIPEMENTS!A:B,2,0),""))</f>
        <v/>
      </c>
      <c r="C71" s="87">
        <f>IF(A71="","",IFERROR(VLOOKUP(A71,EQUIPEMENTS!A:D,4,0),""))</f>
        <v/>
      </c>
      <c r="D71" s="87">
        <f>IF(A71="","",IFERROR(VLOOKUP(A71,EQUIPEMENTS!A:M,13,0),""))</f>
        <v/>
      </c>
      <c r="E71" s="87">
        <f>IF(A71="","",COUNTIFS(MAINT_PREV!B:B,A71,MAINT_PREV!G:G,"Planifiée",MAINT_PREV!E:E,"&lt;"&amp;TODAY(),MAINT_PREV!H:H,""))</f>
        <v/>
      </c>
      <c r="F71" s="87">
        <f>IF(A71="","",COUNTIFS(INTERVENTIONS!B:B,A71,INTERVENTIONS!L:L,"Ouverte"))</f>
        <v/>
      </c>
      <c r="G71" s="87">
        <f>IF(A71="","",COUNTIFS(COMPOSANTS!B:B,A71,COMPOSANTS!G:G,"Défectueux"))</f>
        <v/>
      </c>
      <c r="H71" s="87">
        <f>IF(A71="","",IFERROR(VLOOKUP(A71,EQUIPEMENTS!A:R,18,0),""))</f>
        <v/>
      </c>
      <c r="I71" s="87">
        <f>IF(A71="","",IF(AND(C71="Haute",D71="En panne"),"🔴 CRITIQUE",IF(OR(E71&gt;0,F71&gt;0,G71&gt;0),"🟠 ATTENTION","🟢 OK")))</f>
        <v/>
      </c>
      <c r="J71" s="87">
        <f>IF(A71="","",IFERROR(VLOOKUP(A71,EQUIPEMENTS!A:Q,17,0),""))</f>
        <v/>
      </c>
      <c r="K71" s="87" t="n"/>
    </row>
    <row r="72" ht="15" customHeight="1" s="59">
      <c r="A72" s="84">
        <f>IFERROR(EQUIPEMENTS!A72,"")</f>
        <v/>
      </c>
      <c r="B72" s="84">
        <f>IF(A72="","",IFERROR(VLOOKUP(A72,EQUIPEMENTS!A:B,2,0),""))</f>
        <v/>
      </c>
      <c r="C72" s="84">
        <f>IF(A72="","",IFERROR(VLOOKUP(A72,EQUIPEMENTS!A:D,4,0),""))</f>
        <v/>
      </c>
      <c r="D72" s="84">
        <f>IF(A72="","",IFERROR(VLOOKUP(A72,EQUIPEMENTS!A:M,13,0),""))</f>
        <v/>
      </c>
      <c r="E72" s="84">
        <f>IF(A72="","",COUNTIFS(MAINT_PREV!B:B,A72,MAINT_PREV!G:G,"Planifiée",MAINT_PREV!E:E,"&lt;"&amp;TODAY(),MAINT_PREV!H:H,""))</f>
        <v/>
      </c>
      <c r="F72" s="84">
        <f>IF(A72="","",COUNTIFS(INTERVENTIONS!B:B,A72,INTERVENTIONS!L:L,"Ouverte"))</f>
        <v/>
      </c>
      <c r="G72" s="84">
        <f>IF(A72="","",COUNTIFS(COMPOSANTS!B:B,A72,COMPOSANTS!G:G,"Défectueux"))</f>
        <v/>
      </c>
      <c r="H72" s="84">
        <f>IF(A72="","",IFERROR(VLOOKUP(A72,EQUIPEMENTS!A:R,18,0),""))</f>
        <v/>
      </c>
      <c r="I72" s="84">
        <f>IF(A72="","",IF(AND(C72="Haute",D72="En panne"),"🔴 CRITIQUE",IF(OR(E72&gt;0,F72&gt;0,G72&gt;0),"🟠 ATTENTION","🟢 OK")))</f>
        <v/>
      </c>
      <c r="J72" s="84">
        <f>IF(A72="","",IFERROR(VLOOKUP(A72,EQUIPEMENTS!A:Q,17,0),""))</f>
        <v/>
      </c>
      <c r="K72" s="84" t="n"/>
    </row>
    <row r="73" ht="15" customHeight="1" s="59">
      <c r="A73" s="87">
        <f>IFERROR(EQUIPEMENTS!A73,"")</f>
        <v/>
      </c>
      <c r="B73" s="87">
        <f>IF(A73="","",IFERROR(VLOOKUP(A73,EQUIPEMENTS!A:B,2,0),""))</f>
        <v/>
      </c>
      <c r="C73" s="87">
        <f>IF(A73="","",IFERROR(VLOOKUP(A73,EQUIPEMENTS!A:D,4,0),""))</f>
        <v/>
      </c>
      <c r="D73" s="87">
        <f>IF(A73="","",IFERROR(VLOOKUP(A73,EQUIPEMENTS!A:M,13,0),""))</f>
        <v/>
      </c>
      <c r="E73" s="87">
        <f>IF(A73="","",COUNTIFS(MAINT_PREV!B:B,A73,MAINT_PREV!G:G,"Planifiée",MAINT_PREV!E:E,"&lt;"&amp;TODAY(),MAINT_PREV!H:H,""))</f>
        <v/>
      </c>
      <c r="F73" s="87">
        <f>IF(A73="","",COUNTIFS(INTERVENTIONS!B:B,A73,INTERVENTIONS!L:L,"Ouverte"))</f>
        <v/>
      </c>
      <c r="G73" s="87">
        <f>IF(A73="","",COUNTIFS(COMPOSANTS!B:B,A73,COMPOSANTS!G:G,"Défectueux"))</f>
        <v/>
      </c>
      <c r="H73" s="87">
        <f>IF(A73="","",IFERROR(VLOOKUP(A73,EQUIPEMENTS!A:R,18,0),""))</f>
        <v/>
      </c>
      <c r="I73" s="87">
        <f>IF(A73="","",IF(AND(C73="Haute",D73="En panne"),"🔴 CRITIQUE",IF(OR(E73&gt;0,F73&gt;0,G73&gt;0),"🟠 ATTENTION","🟢 OK")))</f>
        <v/>
      </c>
      <c r="J73" s="87">
        <f>IF(A73="","",IFERROR(VLOOKUP(A73,EQUIPEMENTS!A:Q,17,0),""))</f>
        <v/>
      </c>
      <c r="K73" s="87" t="n"/>
    </row>
    <row r="74" ht="15" customHeight="1" s="59">
      <c r="A74" s="84">
        <f>IFERROR(EQUIPEMENTS!A74,"")</f>
        <v/>
      </c>
      <c r="B74" s="84">
        <f>IF(A74="","",IFERROR(VLOOKUP(A74,EQUIPEMENTS!A:B,2,0),""))</f>
        <v/>
      </c>
      <c r="C74" s="84">
        <f>IF(A74="","",IFERROR(VLOOKUP(A74,EQUIPEMENTS!A:D,4,0),""))</f>
        <v/>
      </c>
      <c r="D74" s="84">
        <f>IF(A74="","",IFERROR(VLOOKUP(A74,EQUIPEMENTS!A:M,13,0),""))</f>
        <v/>
      </c>
      <c r="E74" s="84">
        <f>IF(A74="","",COUNTIFS(MAINT_PREV!B:B,A74,MAINT_PREV!G:G,"Planifiée",MAINT_PREV!E:E,"&lt;"&amp;TODAY(),MAINT_PREV!H:H,""))</f>
        <v/>
      </c>
      <c r="F74" s="84">
        <f>IF(A74="","",COUNTIFS(INTERVENTIONS!B:B,A74,INTERVENTIONS!L:L,"Ouverte"))</f>
        <v/>
      </c>
      <c r="G74" s="84">
        <f>IF(A74="","",COUNTIFS(COMPOSANTS!B:B,A74,COMPOSANTS!G:G,"Défectueux"))</f>
        <v/>
      </c>
      <c r="H74" s="84">
        <f>IF(A74="","",IFERROR(VLOOKUP(A74,EQUIPEMENTS!A:R,18,0),""))</f>
        <v/>
      </c>
      <c r="I74" s="84">
        <f>IF(A74="","",IF(AND(C74="Haute",D74="En panne"),"🔴 CRITIQUE",IF(OR(E74&gt;0,F74&gt;0,G74&gt;0),"🟠 ATTENTION","🟢 OK")))</f>
        <v/>
      </c>
      <c r="J74" s="84">
        <f>IF(A74="","",IFERROR(VLOOKUP(A74,EQUIPEMENTS!A:Q,17,0),""))</f>
        <v/>
      </c>
      <c r="K74" s="84" t="n"/>
    </row>
    <row r="75" ht="15" customHeight="1" s="59">
      <c r="A75" s="87">
        <f>IFERROR(EQUIPEMENTS!A75,"")</f>
        <v/>
      </c>
      <c r="B75" s="87">
        <f>IF(A75="","",IFERROR(VLOOKUP(A75,EQUIPEMENTS!A:B,2,0),""))</f>
        <v/>
      </c>
      <c r="C75" s="87">
        <f>IF(A75="","",IFERROR(VLOOKUP(A75,EQUIPEMENTS!A:D,4,0),""))</f>
        <v/>
      </c>
      <c r="D75" s="87">
        <f>IF(A75="","",IFERROR(VLOOKUP(A75,EQUIPEMENTS!A:M,13,0),""))</f>
        <v/>
      </c>
      <c r="E75" s="87">
        <f>IF(A75="","",COUNTIFS(MAINT_PREV!B:B,A75,MAINT_PREV!G:G,"Planifiée",MAINT_PREV!E:E,"&lt;"&amp;TODAY(),MAINT_PREV!H:H,""))</f>
        <v/>
      </c>
      <c r="F75" s="87">
        <f>IF(A75="","",COUNTIFS(INTERVENTIONS!B:B,A75,INTERVENTIONS!L:L,"Ouverte"))</f>
        <v/>
      </c>
      <c r="G75" s="87">
        <f>IF(A75="","",COUNTIFS(COMPOSANTS!B:B,A75,COMPOSANTS!G:G,"Défectueux"))</f>
        <v/>
      </c>
      <c r="H75" s="87">
        <f>IF(A75="","",IFERROR(VLOOKUP(A75,EQUIPEMENTS!A:R,18,0),""))</f>
        <v/>
      </c>
      <c r="I75" s="87">
        <f>IF(A75="","",IF(AND(C75="Haute",D75="En panne"),"🔴 CRITIQUE",IF(OR(E75&gt;0,F75&gt;0,G75&gt;0),"🟠 ATTENTION","🟢 OK")))</f>
        <v/>
      </c>
      <c r="J75" s="87">
        <f>IF(A75="","",IFERROR(VLOOKUP(A75,EQUIPEMENTS!A:Q,17,0),""))</f>
        <v/>
      </c>
      <c r="K75" s="87" t="n"/>
    </row>
    <row r="76" ht="15" customHeight="1" s="59">
      <c r="A76" s="84">
        <f>IFERROR(EQUIPEMENTS!A76,"")</f>
        <v/>
      </c>
      <c r="B76" s="84">
        <f>IF(A76="","",IFERROR(VLOOKUP(A76,EQUIPEMENTS!A:B,2,0),""))</f>
        <v/>
      </c>
      <c r="C76" s="84">
        <f>IF(A76="","",IFERROR(VLOOKUP(A76,EQUIPEMENTS!A:D,4,0),""))</f>
        <v/>
      </c>
      <c r="D76" s="84">
        <f>IF(A76="","",IFERROR(VLOOKUP(A76,EQUIPEMENTS!A:M,13,0),""))</f>
        <v/>
      </c>
      <c r="E76" s="84">
        <f>IF(A76="","",COUNTIFS(MAINT_PREV!B:B,A76,MAINT_PREV!G:G,"Planifiée",MAINT_PREV!E:E,"&lt;"&amp;TODAY(),MAINT_PREV!H:H,""))</f>
        <v/>
      </c>
      <c r="F76" s="84">
        <f>IF(A76="","",COUNTIFS(INTERVENTIONS!B:B,A76,INTERVENTIONS!L:L,"Ouverte"))</f>
        <v/>
      </c>
      <c r="G76" s="84">
        <f>IF(A76="","",COUNTIFS(COMPOSANTS!B:B,A76,COMPOSANTS!G:G,"Défectueux"))</f>
        <v/>
      </c>
      <c r="H76" s="84">
        <f>IF(A76="","",IFERROR(VLOOKUP(A76,EQUIPEMENTS!A:R,18,0),""))</f>
        <v/>
      </c>
      <c r="I76" s="84">
        <f>IF(A76="","",IF(AND(C76="Haute",D76="En panne"),"🔴 CRITIQUE",IF(OR(E76&gt;0,F76&gt;0,G76&gt;0),"🟠 ATTENTION","🟢 OK")))</f>
        <v/>
      </c>
      <c r="J76" s="84">
        <f>IF(A76="","",IFERROR(VLOOKUP(A76,EQUIPEMENTS!A:Q,17,0),""))</f>
        <v/>
      </c>
      <c r="K76" s="84" t="n"/>
    </row>
    <row r="77" ht="15" customHeight="1" s="59">
      <c r="A77" s="87">
        <f>IFERROR(EQUIPEMENTS!A77,"")</f>
        <v/>
      </c>
      <c r="B77" s="87">
        <f>IF(A77="","",IFERROR(VLOOKUP(A77,EQUIPEMENTS!A:B,2,0),""))</f>
        <v/>
      </c>
      <c r="C77" s="87">
        <f>IF(A77="","",IFERROR(VLOOKUP(A77,EQUIPEMENTS!A:D,4,0),""))</f>
        <v/>
      </c>
      <c r="D77" s="87">
        <f>IF(A77="","",IFERROR(VLOOKUP(A77,EQUIPEMENTS!A:M,13,0),""))</f>
        <v/>
      </c>
      <c r="E77" s="87">
        <f>IF(A77="","",COUNTIFS(MAINT_PREV!B:B,A77,MAINT_PREV!G:G,"Planifiée",MAINT_PREV!E:E,"&lt;"&amp;TODAY(),MAINT_PREV!H:H,""))</f>
        <v/>
      </c>
      <c r="F77" s="87">
        <f>IF(A77="","",COUNTIFS(INTERVENTIONS!B:B,A77,INTERVENTIONS!L:L,"Ouverte"))</f>
        <v/>
      </c>
      <c r="G77" s="87">
        <f>IF(A77="","",COUNTIFS(COMPOSANTS!B:B,A77,COMPOSANTS!G:G,"Défectueux"))</f>
        <v/>
      </c>
      <c r="H77" s="87">
        <f>IF(A77="","",IFERROR(VLOOKUP(A77,EQUIPEMENTS!A:R,18,0),""))</f>
        <v/>
      </c>
      <c r="I77" s="87">
        <f>IF(A77="","",IF(AND(C77="Haute",D77="En panne"),"🔴 CRITIQUE",IF(OR(E77&gt;0,F77&gt;0,G77&gt;0),"🟠 ATTENTION","🟢 OK")))</f>
        <v/>
      </c>
      <c r="J77" s="87">
        <f>IF(A77="","",IFERROR(VLOOKUP(A77,EQUIPEMENTS!A:Q,17,0),""))</f>
        <v/>
      </c>
      <c r="K77" s="87" t="n"/>
    </row>
    <row r="78" ht="15" customHeight="1" s="59">
      <c r="A78" s="84">
        <f>IFERROR(EQUIPEMENTS!A78,"")</f>
        <v/>
      </c>
      <c r="B78" s="84">
        <f>IF(A78="","",IFERROR(VLOOKUP(A78,EQUIPEMENTS!A:B,2,0),""))</f>
        <v/>
      </c>
      <c r="C78" s="84">
        <f>IF(A78="","",IFERROR(VLOOKUP(A78,EQUIPEMENTS!A:D,4,0),""))</f>
        <v/>
      </c>
      <c r="D78" s="84">
        <f>IF(A78="","",IFERROR(VLOOKUP(A78,EQUIPEMENTS!A:M,13,0),""))</f>
        <v/>
      </c>
      <c r="E78" s="84">
        <f>IF(A78="","",COUNTIFS(MAINT_PREV!B:B,A78,MAINT_PREV!G:G,"Planifiée",MAINT_PREV!E:E,"&lt;"&amp;TODAY(),MAINT_PREV!H:H,""))</f>
        <v/>
      </c>
      <c r="F78" s="84">
        <f>IF(A78="","",COUNTIFS(INTERVENTIONS!B:B,A78,INTERVENTIONS!L:L,"Ouverte"))</f>
        <v/>
      </c>
      <c r="G78" s="84">
        <f>IF(A78="","",COUNTIFS(COMPOSANTS!B:B,A78,COMPOSANTS!G:G,"Défectueux"))</f>
        <v/>
      </c>
      <c r="H78" s="84">
        <f>IF(A78="","",IFERROR(VLOOKUP(A78,EQUIPEMENTS!A:R,18,0),""))</f>
        <v/>
      </c>
      <c r="I78" s="84">
        <f>IF(A78="","",IF(AND(C78="Haute",D78="En panne"),"🔴 CRITIQUE",IF(OR(E78&gt;0,F78&gt;0,G78&gt;0),"🟠 ATTENTION","🟢 OK")))</f>
        <v/>
      </c>
      <c r="J78" s="84">
        <f>IF(A78="","",IFERROR(VLOOKUP(A78,EQUIPEMENTS!A:Q,17,0),""))</f>
        <v/>
      </c>
      <c r="K78" s="84" t="n"/>
    </row>
    <row r="79" ht="15" customHeight="1" s="59">
      <c r="A79" s="87">
        <f>IFERROR(EQUIPEMENTS!A79,"")</f>
        <v/>
      </c>
      <c r="B79" s="87">
        <f>IF(A79="","",IFERROR(VLOOKUP(A79,EQUIPEMENTS!A:B,2,0),""))</f>
        <v/>
      </c>
      <c r="C79" s="87">
        <f>IF(A79="","",IFERROR(VLOOKUP(A79,EQUIPEMENTS!A:D,4,0),""))</f>
        <v/>
      </c>
      <c r="D79" s="87">
        <f>IF(A79="","",IFERROR(VLOOKUP(A79,EQUIPEMENTS!A:M,13,0),""))</f>
        <v/>
      </c>
      <c r="E79" s="87">
        <f>IF(A79="","",COUNTIFS(MAINT_PREV!B:B,A79,MAINT_PREV!G:G,"Planifiée",MAINT_PREV!E:E,"&lt;"&amp;TODAY(),MAINT_PREV!H:H,""))</f>
        <v/>
      </c>
      <c r="F79" s="87">
        <f>IF(A79="","",COUNTIFS(INTERVENTIONS!B:B,A79,INTERVENTIONS!L:L,"Ouverte"))</f>
        <v/>
      </c>
      <c r="G79" s="87">
        <f>IF(A79="","",COUNTIFS(COMPOSANTS!B:B,A79,COMPOSANTS!G:G,"Défectueux"))</f>
        <v/>
      </c>
      <c r="H79" s="87">
        <f>IF(A79="","",IFERROR(VLOOKUP(A79,EQUIPEMENTS!A:R,18,0),""))</f>
        <v/>
      </c>
      <c r="I79" s="87">
        <f>IF(A79="","",IF(AND(C79="Haute",D79="En panne"),"🔴 CRITIQUE",IF(OR(E79&gt;0,F79&gt;0,G79&gt;0),"🟠 ATTENTION","🟢 OK")))</f>
        <v/>
      </c>
      <c r="J79" s="87">
        <f>IF(A79="","",IFERROR(VLOOKUP(A79,EQUIPEMENTS!A:Q,17,0),""))</f>
        <v/>
      </c>
      <c r="K79" s="87" t="n"/>
    </row>
    <row r="80" ht="15" customHeight="1" s="59">
      <c r="A80" s="84">
        <f>IFERROR(EQUIPEMENTS!A80,"")</f>
        <v/>
      </c>
      <c r="B80" s="84">
        <f>IF(A80="","",IFERROR(VLOOKUP(A80,EQUIPEMENTS!A:B,2,0),""))</f>
        <v/>
      </c>
      <c r="C80" s="84">
        <f>IF(A80="","",IFERROR(VLOOKUP(A80,EQUIPEMENTS!A:D,4,0),""))</f>
        <v/>
      </c>
      <c r="D80" s="84">
        <f>IF(A80="","",IFERROR(VLOOKUP(A80,EQUIPEMENTS!A:M,13,0),""))</f>
        <v/>
      </c>
      <c r="E80" s="84">
        <f>IF(A80="","",COUNTIFS(MAINT_PREV!B:B,A80,MAINT_PREV!G:G,"Planifiée",MAINT_PREV!E:E,"&lt;"&amp;TODAY(),MAINT_PREV!H:H,""))</f>
        <v/>
      </c>
      <c r="F80" s="84">
        <f>IF(A80="","",COUNTIFS(INTERVENTIONS!B:B,A80,INTERVENTIONS!L:L,"Ouverte"))</f>
        <v/>
      </c>
      <c r="G80" s="84">
        <f>IF(A80="","",COUNTIFS(COMPOSANTS!B:B,A80,COMPOSANTS!G:G,"Défectueux"))</f>
        <v/>
      </c>
      <c r="H80" s="84">
        <f>IF(A80="","",IFERROR(VLOOKUP(A80,EQUIPEMENTS!A:R,18,0),""))</f>
        <v/>
      </c>
      <c r="I80" s="84">
        <f>IF(A80="","",IF(AND(C80="Haute",D80="En panne"),"🔴 CRITIQUE",IF(OR(E80&gt;0,F80&gt;0,G80&gt;0),"🟠 ATTENTION","🟢 OK")))</f>
        <v/>
      </c>
      <c r="J80" s="84">
        <f>IF(A80="","",IFERROR(VLOOKUP(A80,EQUIPEMENTS!A:Q,17,0),""))</f>
        <v/>
      </c>
      <c r="K80" s="84" t="n"/>
    </row>
    <row r="81" ht="15" customHeight="1" s="59">
      <c r="A81" s="87">
        <f>IFERROR(EQUIPEMENTS!A81,"")</f>
        <v/>
      </c>
      <c r="B81" s="87">
        <f>IF(A81="","",IFERROR(VLOOKUP(A81,EQUIPEMENTS!A:B,2,0),""))</f>
        <v/>
      </c>
      <c r="C81" s="87">
        <f>IF(A81="","",IFERROR(VLOOKUP(A81,EQUIPEMENTS!A:D,4,0),""))</f>
        <v/>
      </c>
      <c r="D81" s="87">
        <f>IF(A81="","",IFERROR(VLOOKUP(A81,EQUIPEMENTS!A:M,13,0),""))</f>
        <v/>
      </c>
      <c r="E81" s="87">
        <f>IF(A81="","",COUNTIFS(MAINT_PREV!B:B,A81,MAINT_PREV!G:G,"Planifiée",MAINT_PREV!E:E,"&lt;"&amp;TODAY(),MAINT_PREV!H:H,""))</f>
        <v/>
      </c>
      <c r="F81" s="87">
        <f>IF(A81="","",COUNTIFS(INTERVENTIONS!B:B,A81,INTERVENTIONS!L:L,"Ouverte"))</f>
        <v/>
      </c>
      <c r="G81" s="87">
        <f>IF(A81="","",COUNTIFS(COMPOSANTS!B:B,A81,COMPOSANTS!G:G,"Défectueux"))</f>
        <v/>
      </c>
      <c r="H81" s="87">
        <f>IF(A81="","",IFERROR(VLOOKUP(A81,EQUIPEMENTS!A:R,18,0),""))</f>
        <v/>
      </c>
      <c r="I81" s="87">
        <f>IF(A81="","",IF(AND(C81="Haute",D81="En panne"),"🔴 CRITIQUE",IF(OR(E81&gt;0,F81&gt;0,G81&gt;0),"🟠 ATTENTION","🟢 OK")))</f>
        <v/>
      </c>
      <c r="J81" s="87">
        <f>IF(A81="","",IFERROR(VLOOKUP(A81,EQUIPEMENTS!A:Q,17,0),""))</f>
        <v/>
      </c>
      <c r="K81" s="87" t="n"/>
    </row>
    <row r="82" ht="15" customHeight="1" s="59">
      <c r="A82" s="84">
        <f>IFERROR(EQUIPEMENTS!A82,"")</f>
        <v/>
      </c>
      <c r="B82" s="84">
        <f>IF(A82="","",IFERROR(VLOOKUP(A82,EQUIPEMENTS!A:B,2,0),""))</f>
        <v/>
      </c>
      <c r="C82" s="84">
        <f>IF(A82="","",IFERROR(VLOOKUP(A82,EQUIPEMENTS!A:D,4,0),""))</f>
        <v/>
      </c>
      <c r="D82" s="84">
        <f>IF(A82="","",IFERROR(VLOOKUP(A82,EQUIPEMENTS!A:M,13,0),""))</f>
        <v/>
      </c>
      <c r="E82" s="84">
        <f>IF(A82="","",COUNTIFS(MAINT_PREV!B:B,A82,MAINT_PREV!G:G,"Planifiée",MAINT_PREV!E:E,"&lt;"&amp;TODAY(),MAINT_PREV!H:H,""))</f>
        <v/>
      </c>
      <c r="F82" s="84">
        <f>IF(A82="","",COUNTIFS(INTERVENTIONS!B:B,A82,INTERVENTIONS!L:L,"Ouverte"))</f>
        <v/>
      </c>
      <c r="G82" s="84">
        <f>IF(A82="","",COUNTIFS(COMPOSANTS!B:B,A82,COMPOSANTS!G:G,"Défectueux"))</f>
        <v/>
      </c>
      <c r="H82" s="84">
        <f>IF(A82="","",IFERROR(VLOOKUP(A82,EQUIPEMENTS!A:R,18,0),""))</f>
        <v/>
      </c>
      <c r="I82" s="84">
        <f>IF(A82="","",IF(AND(C82="Haute",D82="En panne"),"🔴 CRITIQUE",IF(OR(E82&gt;0,F82&gt;0,G82&gt;0),"🟠 ATTENTION","🟢 OK")))</f>
        <v/>
      </c>
      <c r="J82" s="84">
        <f>IF(A82="","",IFERROR(VLOOKUP(A82,EQUIPEMENTS!A:Q,17,0),""))</f>
        <v/>
      </c>
      <c r="K82" s="84" t="n"/>
    </row>
    <row r="83" ht="15" customHeight="1" s="59">
      <c r="A83" s="87">
        <f>IFERROR(EQUIPEMENTS!A83,"")</f>
        <v/>
      </c>
      <c r="B83" s="87">
        <f>IF(A83="","",IFERROR(VLOOKUP(A83,EQUIPEMENTS!A:B,2,0),""))</f>
        <v/>
      </c>
      <c r="C83" s="87">
        <f>IF(A83="","",IFERROR(VLOOKUP(A83,EQUIPEMENTS!A:D,4,0),""))</f>
        <v/>
      </c>
      <c r="D83" s="87">
        <f>IF(A83="","",IFERROR(VLOOKUP(A83,EQUIPEMENTS!A:M,13,0),""))</f>
        <v/>
      </c>
      <c r="E83" s="87">
        <f>IF(A83="","",COUNTIFS(MAINT_PREV!B:B,A83,MAINT_PREV!G:G,"Planifiée",MAINT_PREV!E:E,"&lt;"&amp;TODAY(),MAINT_PREV!H:H,""))</f>
        <v/>
      </c>
      <c r="F83" s="87">
        <f>IF(A83="","",COUNTIFS(INTERVENTIONS!B:B,A83,INTERVENTIONS!L:L,"Ouverte"))</f>
        <v/>
      </c>
      <c r="G83" s="87">
        <f>IF(A83="","",COUNTIFS(COMPOSANTS!B:B,A83,COMPOSANTS!G:G,"Défectueux"))</f>
        <v/>
      </c>
      <c r="H83" s="87">
        <f>IF(A83="","",IFERROR(VLOOKUP(A83,EQUIPEMENTS!A:R,18,0),""))</f>
        <v/>
      </c>
      <c r="I83" s="87">
        <f>IF(A83="","",IF(AND(C83="Haute",D83="En panne"),"🔴 CRITIQUE",IF(OR(E83&gt;0,F83&gt;0,G83&gt;0),"🟠 ATTENTION","🟢 OK")))</f>
        <v/>
      </c>
      <c r="J83" s="87">
        <f>IF(A83="","",IFERROR(VLOOKUP(A83,EQUIPEMENTS!A:Q,17,0),""))</f>
        <v/>
      </c>
      <c r="K83" s="87" t="n"/>
    </row>
    <row r="84" ht="15" customHeight="1" s="59">
      <c r="A84" s="84">
        <f>IFERROR(EQUIPEMENTS!A84,"")</f>
        <v/>
      </c>
      <c r="B84" s="84">
        <f>IF(A84="","",IFERROR(VLOOKUP(A84,EQUIPEMENTS!A:B,2,0),""))</f>
        <v/>
      </c>
      <c r="C84" s="84">
        <f>IF(A84="","",IFERROR(VLOOKUP(A84,EQUIPEMENTS!A:D,4,0),""))</f>
        <v/>
      </c>
      <c r="D84" s="84">
        <f>IF(A84="","",IFERROR(VLOOKUP(A84,EQUIPEMENTS!A:M,13,0),""))</f>
        <v/>
      </c>
      <c r="E84" s="84">
        <f>IF(A84="","",COUNTIFS(MAINT_PREV!B:B,A84,MAINT_PREV!G:G,"Planifiée",MAINT_PREV!E:E,"&lt;"&amp;TODAY(),MAINT_PREV!H:H,""))</f>
        <v/>
      </c>
      <c r="F84" s="84">
        <f>IF(A84="","",COUNTIFS(INTERVENTIONS!B:B,A84,INTERVENTIONS!L:L,"Ouverte"))</f>
        <v/>
      </c>
      <c r="G84" s="84">
        <f>IF(A84="","",COUNTIFS(COMPOSANTS!B:B,A84,COMPOSANTS!G:G,"Défectueux"))</f>
        <v/>
      </c>
      <c r="H84" s="84">
        <f>IF(A84="","",IFERROR(VLOOKUP(A84,EQUIPEMENTS!A:R,18,0),""))</f>
        <v/>
      </c>
      <c r="I84" s="84">
        <f>IF(A84="","",IF(AND(C84="Haute",D84="En panne"),"🔴 CRITIQUE",IF(OR(E84&gt;0,F84&gt;0,G84&gt;0),"🟠 ATTENTION","🟢 OK")))</f>
        <v/>
      </c>
      <c r="J84" s="84">
        <f>IF(A84="","",IFERROR(VLOOKUP(A84,EQUIPEMENTS!A:Q,17,0),""))</f>
        <v/>
      </c>
      <c r="K84" s="84" t="n"/>
    </row>
    <row r="85" ht="15" customHeight="1" s="59">
      <c r="A85" s="87">
        <f>IFERROR(EQUIPEMENTS!A85,"")</f>
        <v/>
      </c>
      <c r="B85" s="87">
        <f>IF(A85="","",IFERROR(VLOOKUP(A85,EQUIPEMENTS!A:B,2,0),""))</f>
        <v/>
      </c>
      <c r="C85" s="87">
        <f>IF(A85="","",IFERROR(VLOOKUP(A85,EQUIPEMENTS!A:D,4,0),""))</f>
        <v/>
      </c>
      <c r="D85" s="87">
        <f>IF(A85="","",IFERROR(VLOOKUP(A85,EQUIPEMENTS!A:M,13,0),""))</f>
        <v/>
      </c>
      <c r="E85" s="87">
        <f>IF(A85="","",COUNTIFS(MAINT_PREV!B:B,A85,MAINT_PREV!G:G,"Planifiée",MAINT_PREV!E:E,"&lt;"&amp;TODAY(),MAINT_PREV!H:H,""))</f>
        <v/>
      </c>
      <c r="F85" s="87">
        <f>IF(A85="","",COUNTIFS(INTERVENTIONS!B:B,A85,INTERVENTIONS!L:L,"Ouverte"))</f>
        <v/>
      </c>
      <c r="G85" s="87">
        <f>IF(A85="","",COUNTIFS(COMPOSANTS!B:B,A85,COMPOSANTS!G:G,"Défectueux"))</f>
        <v/>
      </c>
      <c r="H85" s="87">
        <f>IF(A85="","",IFERROR(VLOOKUP(A85,EQUIPEMENTS!A:R,18,0),""))</f>
        <v/>
      </c>
      <c r="I85" s="87">
        <f>IF(A85="","",IF(AND(C85="Haute",D85="En panne"),"🔴 CRITIQUE",IF(OR(E85&gt;0,F85&gt;0,G85&gt;0),"🟠 ATTENTION","🟢 OK")))</f>
        <v/>
      </c>
      <c r="J85" s="87">
        <f>IF(A85="","",IFERROR(VLOOKUP(A85,EQUIPEMENTS!A:Q,17,0),""))</f>
        <v/>
      </c>
      <c r="K85" s="87" t="n"/>
    </row>
    <row r="86" ht="15" customHeight="1" s="59">
      <c r="A86" s="84">
        <f>IFERROR(EQUIPEMENTS!A86,"")</f>
        <v/>
      </c>
      <c r="B86" s="84">
        <f>IF(A86="","",IFERROR(VLOOKUP(A86,EQUIPEMENTS!A:B,2,0),""))</f>
        <v/>
      </c>
      <c r="C86" s="84">
        <f>IF(A86="","",IFERROR(VLOOKUP(A86,EQUIPEMENTS!A:D,4,0),""))</f>
        <v/>
      </c>
      <c r="D86" s="84">
        <f>IF(A86="","",IFERROR(VLOOKUP(A86,EQUIPEMENTS!A:M,13,0),""))</f>
        <v/>
      </c>
      <c r="E86" s="84">
        <f>IF(A86="","",COUNTIFS(MAINT_PREV!B:B,A86,MAINT_PREV!G:G,"Planifiée",MAINT_PREV!E:E,"&lt;"&amp;TODAY(),MAINT_PREV!H:H,""))</f>
        <v/>
      </c>
      <c r="F86" s="84">
        <f>IF(A86="","",COUNTIFS(INTERVENTIONS!B:B,A86,INTERVENTIONS!L:L,"Ouverte"))</f>
        <v/>
      </c>
      <c r="G86" s="84">
        <f>IF(A86="","",COUNTIFS(COMPOSANTS!B:B,A86,COMPOSANTS!G:G,"Défectueux"))</f>
        <v/>
      </c>
      <c r="H86" s="84">
        <f>IF(A86="","",IFERROR(VLOOKUP(A86,EQUIPEMENTS!A:R,18,0),""))</f>
        <v/>
      </c>
      <c r="I86" s="84">
        <f>IF(A86="","",IF(AND(C86="Haute",D86="En panne"),"🔴 CRITIQUE",IF(OR(E86&gt;0,F86&gt;0,G86&gt;0),"🟠 ATTENTION","🟢 OK")))</f>
        <v/>
      </c>
      <c r="J86" s="84">
        <f>IF(A86="","",IFERROR(VLOOKUP(A86,EQUIPEMENTS!A:Q,17,0),""))</f>
        <v/>
      </c>
      <c r="K86" s="84" t="n"/>
    </row>
    <row r="87" ht="15" customHeight="1" s="59">
      <c r="A87" s="87">
        <f>IFERROR(EQUIPEMENTS!A87,"")</f>
        <v/>
      </c>
      <c r="B87" s="87">
        <f>IF(A87="","",IFERROR(VLOOKUP(A87,EQUIPEMENTS!A:B,2,0),""))</f>
        <v/>
      </c>
      <c r="C87" s="87">
        <f>IF(A87="","",IFERROR(VLOOKUP(A87,EQUIPEMENTS!A:D,4,0),""))</f>
        <v/>
      </c>
      <c r="D87" s="87">
        <f>IF(A87="","",IFERROR(VLOOKUP(A87,EQUIPEMENTS!A:M,13,0),""))</f>
        <v/>
      </c>
      <c r="E87" s="87">
        <f>IF(A87="","",COUNTIFS(MAINT_PREV!B:B,A87,MAINT_PREV!G:G,"Planifiée",MAINT_PREV!E:E,"&lt;"&amp;TODAY(),MAINT_PREV!H:H,""))</f>
        <v/>
      </c>
      <c r="F87" s="87">
        <f>IF(A87="","",COUNTIFS(INTERVENTIONS!B:B,A87,INTERVENTIONS!L:L,"Ouverte"))</f>
        <v/>
      </c>
      <c r="G87" s="87">
        <f>IF(A87="","",COUNTIFS(COMPOSANTS!B:B,A87,COMPOSANTS!G:G,"Défectueux"))</f>
        <v/>
      </c>
      <c r="H87" s="87">
        <f>IF(A87="","",IFERROR(VLOOKUP(A87,EQUIPEMENTS!A:R,18,0),""))</f>
        <v/>
      </c>
      <c r="I87" s="87">
        <f>IF(A87="","",IF(AND(C87="Haute",D87="En panne"),"🔴 CRITIQUE",IF(OR(E87&gt;0,F87&gt;0,G87&gt;0),"🟠 ATTENTION","🟢 OK")))</f>
        <v/>
      </c>
      <c r="J87" s="87">
        <f>IF(A87="","",IFERROR(VLOOKUP(A87,EQUIPEMENTS!A:Q,17,0),""))</f>
        <v/>
      </c>
      <c r="K87" s="87" t="n"/>
    </row>
    <row r="88" ht="15" customHeight="1" s="59">
      <c r="A88" s="84">
        <f>IFERROR(EQUIPEMENTS!A88,"")</f>
        <v/>
      </c>
      <c r="B88" s="84">
        <f>IF(A88="","",IFERROR(VLOOKUP(A88,EQUIPEMENTS!A:B,2,0),""))</f>
        <v/>
      </c>
      <c r="C88" s="84">
        <f>IF(A88="","",IFERROR(VLOOKUP(A88,EQUIPEMENTS!A:D,4,0),""))</f>
        <v/>
      </c>
      <c r="D88" s="84">
        <f>IF(A88="","",IFERROR(VLOOKUP(A88,EQUIPEMENTS!A:M,13,0),""))</f>
        <v/>
      </c>
      <c r="E88" s="84">
        <f>IF(A88="","",COUNTIFS(MAINT_PREV!B:B,A88,MAINT_PREV!G:G,"Planifiée",MAINT_PREV!E:E,"&lt;"&amp;TODAY(),MAINT_PREV!H:H,""))</f>
        <v/>
      </c>
      <c r="F88" s="84">
        <f>IF(A88="","",COUNTIFS(INTERVENTIONS!B:B,A88,INTERVENTIONS!L:L,"Ouverte"))</f>
        <v/>
      </c>
      <c r="G88" s="84">
        <f>IF(A88="","",COUNTIFS(COMPOSANTS!B:B,A88,COMPOSANTS!G:G,"Défectueux"))</f>
        <v/>
      </c>
      <c r="H88" s="84">
        <f>IF(A88="","",IFERROR(VLOOKUP(A88,EQUIPEMENTS!A:R,18,0),""))</f>
        <v/>
      </c>
      <c r="I88" s="84">
        <f>IF(A88="","",IF(AND(C88="Haute",D88="En panne"),"🔴 CRITIQUE",IF(OR(E88&gt;0,F88&gt;0,G88&gt;0),"🟠 ATTENTION","🟢 OK")))</f>
        <v/>
      </c>
      <c r="J88" s="84">
        <f>IF(A88="","",IFERROR(VLOOKUP(A88,EQUIPEMENTS!A:Q,17,0),""))</f>
        <v/>
      </c>
      <c r="K88" s="84" t="n"/>
    </row>
    <row r="89" ht="15" customHeight="1" s="59">
      <c r="A89" s="87">
        <f>IFERROR(EQUIPEMENTS!A89,"")</f>
        <v/>
      </c>
      <c r="B89" s="87">
        <f>IF(A89="","",IFERROR(VLOOKUP(A89,EQUIPEMENTS!A:B,2,0),""))</f>
        <v/>
      </c>
      <c r="C89" s="87">
        <f>IF(A89="","",IFERROR(VLOOKUP(A89,EQUIPEMENTS!A:D,4,0),""))</f>
        <v/>
      </c>
      <c r="D89" s="87">
        <f>IF(A89="","",IFERROR(VLOOKUP(A89,EQUIPEMENTS!A:M,13,0),""))</f>
        <v/>
      </c>
      <c r="E89" s="87">
        <f>IF(A89="","",COUNTIFS(MAINT_PREV!B:B,A89,MAINT_PREV!G:G,"Planifiée",MAINT_PREV!E:E,"&lt;"&amp;TODAY(),MAINT_PREV!H:H,""))</f>
        <v/>
      </c>
      <c r="F89" s="87">
        <f>IF(A89="","",COUNTIFS(INTERVENTIONS!B:B,A89,INTERVENTIONS!L:L,"Ouverte"))</f>
        <v/>
      </c>
      <c r="G89" s="87">
        <f>IF(A89="","",COUNTIFS(COMPOSANTS!B:B,A89,COMPOSANTS!G:G,"Défectueux"))</f>
        <v/>
      </c>
      <c r="H89" s="87">
        <f>IF(A89="","",IFERROR(VLOOKUP(A89,EQUIPEMENTS!A:R,18,0),""))</f>
        <v/>
      </c>
      <c r="I89" s="87">
        <f>IF(A89="","",IF(AND(C89="Haute",D89="En panne"),"🔴 CRITIQUE",IF(OR(E89&gt;0,F89&gt;0,G89&gt;0),"🟠 ATTENTION","🟢 OK")))</f>
        <v/>
      </c>
      <c r="J89" s="87">
        <f>IF(A89="","",IFERROR(VLOOKUP(A89,EQUIPEMENTS!A:Q,17,0),""))</f>
        <v/>
      </c>
      <c r="K89" s="87" t="n"/>
    </row>
    <row r="90" ht="15" customHeight="1" s="59">
      <c r="A90" s="84">
        <f>IFERROR(EQUIPEMENTS!A90,"")</f>
        <v/>
      </c>
      <c r="B90" s="84">
        <f>IF(A90="","",IFERROR(VLOOKUP(A90,EQUIPEMENTS!A:B,2,0),""))</f>
        <v/>
      </c>
      <c r="C90" s="84">
        <f>IF(A90="","",IFERROR(VLOOKUP(A90,EQUIPEMENTS!A:D,4,0),""))</f>
        <v/>
      </c>
      <c r="D90" s="84">
        <f>IF(A90="","",IFERROR(VLOOKUP(A90,EQUIPEMENTS!A:M,13,0),""))</f>
        <v/>
      </c>
      <c r="E90" s="84">
        <f>IF(A90="","",COUNTIFS(MAINT_PREV!B:B,A90,MAINT_PREV!G:G,"Planifiée",MAINT_PREV!E:E,"&lt;"&amp;TODAY(),MAINT_PREV!H:H,""))</f>
        <v/>
      </c>
      <c r="F90" s="84">
        <f>IF(A90="","",COUNTIFS(INTERVENTIONS!B:B,A90,INTERVENTIONS!L:L,"Ouverte"))</f>
        <v/>
      </c>
      <c r="G90" s="84">
        <f>IF(A90="","",COUNTIFS(COMPOSANTS!B:B,A90,COMPOSANTS!G:G,"Défectueux"))</f>
        <v/>
      </c>
      <c r="H90" s="84">
        <f>IF(A90="","",IFERROR(VLOOKUP(A90,EQUIPEMENTS!A:R,18,0),""))</f>
        <v/>
      </c>
      <c r="I90" s="84">
        <f>IF(A90="","",IF(AND(C90="Haute",D90="En panne"),"🔴 CRITIQUE",IF(OR(E90&gt;0,F90&gt;0,G90&gt;0),"🟠 ATTENTION","🟢 OK")))</f>
        <v/>
      </c>
      <c r="J90" s="84">
        <f>IF(A90="","",IFERROR(VLOOKUP(A90,EQUIPEMENTS!A:Q,17,0),""))</f>
        <v/>
      </c>
      <c r="K90" s="84" t="n"/>
    </row>
    <row r="91" ht="15" customHeight="1" s="59">
      <c r="A91" s="87">
        <f>IFERROR(EQUIPEMENTS!A91,"")</f>
        <v/>
      </c>
      <c r="B91" s="87">
        <f>IF(A91="","",IFERROR(VLOOKUP(A91,EQUIPEMENTS!A:B,2,0),""))</f>
        <v/>
      </c>
      <c r="C91" s="87">
        <f>IF(A91="","",IFERROR(VLOOKUP(A91,EQUIPEMENTS!A:D,4,0),""))</f>
        <v/>
      </c>
      <c r="D91" s="87">
        <f>IF(A91="","",IFERROR(VLOOKUP(A91,EQUIPEMENTS!A:M,13,0),""))</f>
        <v/>
      </c>
      <c r="E91" s="87">
        <f>IF(A91="","",COUNTIFS(MAINT_PREV!B:B,A91,MAINT_PREV!G:G,"Planifiée",MAINT_PREV!E:E,"&lt;"&amp;TODAY(),MAINT_PREV!H:H,""))</f>
        <v/>
      </c>
      <c r="F91" s="87">
        <f>IF(A91="","",COUNTIFS(INTERVENTIONS!B:B,A91,INTERVENTIONS!L:L,"Ouverte"))</f>
        <v/>
      </c>
      <c r="G91" s="87">
        <f>IF(A91="","",COUNTIFS(COMPOSANTS!B:B,A91,COMPOSANTS!G:G,"Défectueux"))</f>
        <v/>
      </c>
      <c r="H91" s="87">
        <f>IF(A91="","",IFERROR(VLOOKUP(A91,EQUIPEMENTS!A:R,18,0),""))</f>
        <v/>
      </c>
      <c r="I91" s="87">
        <f>IF(A91="","",IF(AND(C91="Haute",D91="En panne"),"🔴 CRITIQUE",IF(OR(E91&gt;0,F91&gt;0,G91&gt;0),"🟠 ATTENTION","🟢 OK")))</f>
        <v/>
      </c>
      <c r="J91" s="87">
        <f>IF(A91="","",IFERROR(VLOOKUP(A91,EQUIPEMENTS!A:Q,17,0),""))</f>
        <v/>
      </c>
      <c r="K91" s="87" t="n"/>
    </row>
    <row r="92" ht="15" customHeight="1" s="59">
      <c r="A92" s="84">
        <f>IFERROR(EQUIPEMENTS!A92,"")</f>
        <v/>
      </c>
      <c r="B92" s="84">
        <f>IF(A92="","",IFERROR(VLOOKUP(A92,EQUIPEMENTS!A:B,2,0),""))</f>
        <v/>
      </c>
      <c r="C92" s="84">
        <f>IF(A92="","",IFERROR(VLOOKUP(A92,EQUIPEMENTS!A:D,4,0),""))</f>
        <v/>
      </c>
      <c r="D92" s="84">
        <f>IF(A92="","",IFERROR(VLOOKUP(A92,EQUIPEMENTS!A:M,13,0),""))</f>
        <v/>
      </c>
      <c r="E92" s="84">
        <f>IF(A92="","",COUNTIFS(MAINT_PREV!B:B,A92,MAINT_PREV!G:G,"Planifiée",MAINT_PREV!E:E,"&lt;"&amp;TODAY(),MAINT_PREV!H:H,""))</f>
        <v/>
      </c>
      <c r="F92" s="84">
        <f>IF(A92="","",COUNTIFS(INTERVENTIONS!B:B,A92,INTERVENTIONS!L:L,"Ouverte"))</f>
        <v/>
      </c>
      <c r="G92" s="84">
        <f>IF(A92="","",COUNTIFS(COMPOSANTS!B:B,A92,COMPOSANTS!G:G,"Défectueux"))</f>
        <v/>
      </c>
      <c r="H92" s="84">
        <f>IF(A92="","",IFERROR(VLOOKUP(A92,EQUIPEMENTS!A:R,18,0),""))</f>
        <v/>
      </c>
      <c r="I92" s="84">
        <f>IF(A92="","",IF(AND(C92="Haute",D92="En panne"),"🔴 CRITIQUE",IF(OR(E92&gt;0,F92&gt;0,G92&gt;0),"🟠 ATTENTION","🟢 OK")))</f>
        <v/>
      </c>
      <c r="J92" s="84">
        <f>IF(A92="","",IFERROR(VLOOKUP(A92,EQUIPEMENTS!A:Q,17,0),""))</f>
        <v/>
      </c>
      <c r="K92" s="84" t="n"/>
    </row>
    <row r="93" ht="15" customHeight="1" s="59">
      <c r="A93" s="87">
        <f>IFERROR(EQUIPEMENTS!A93,"")</f>
        <v/>
      </c>
      <c r="B93" s="87">
        <f>IF(A93="","",IFERROR(VLOOKUP(A93,EQUIPEMENTS!A:B,2,0),""))</f>
        <v/>
      </c>
      <c r="C93" s="87">
        <f>IF(A93="","",IFERROR(VLOOKUP(A93,EQUIPEMENTS!A:D,4,0),""))</f>
        <v/>
      </c>
      <c r="D93" s="87">
        <f>IF(A93="","",IFERROR(VLOOKUP(A93,EQUIPEMENTS!A:M,13,0),""))</f>
        <v/>
      </c>
      <c r="E93" s="87">
        <f>IF(A93="","",COUNTIFS(MAINT_PREV!B:B,A93,MAINT_PREV!G:G,"Planifiée",MAINT_PREV!E:E,"&lt;"&amp;TODAY(),MAINT_PREV!H:H,""))</f>
        <v/>
      </c>
      <c r="F93" s="87">
        <f>IF(A93="","",COUNTIFS(INTERVENTIONS!B:B,A93,INTERVENTIONS!L:L,"Ouverte"))</f>
        <v/>
      </c>
      <c r="G93" s="87">
        <f>IF(A93="","",COUNTIFS(COMPOSANTS!B:B,A93,COMPOSANTS!G:G,"Défectueux"))</f>
        <v/>
      </c>
      <c r="H93" s="87">
        <f>IF(A93="","",IFERROR(VLOOKUP(A93,EQUIPEMENTS!A:R,18,0),""))</f>
        <v/>
      </c>
      <c r="I93" s="87">
        <f>IF(A93="","",IF(AND(C93="Haute",D93="En panne"),"🔴 CRITIQUE",IF(OR(E93&gt;0,F93&gt;0,G93&gt;0),"🟠 ATTENTION","🟢 OK")))</f>
        <v/>
      </c>
      <c r="J93" s="87">
        <f>IF(A93="","",IFERROR(VLOOKUP(A93,EQUIPEMENTS!A:Q,17,0),""))</f>
        <v/>
      </c>
      <c r="K93" s="87" t="n"/>
    </row>
    <row r="94" ht="15" customHeight="1" s="59">
      <c r="A94" s="84">
        <f>IFERROR(EQUIPEMENTS!A94,"")</f>
        <v/>
      </c>
      <c r="B94" s="84">
        <f>IF(A94="","",IFERROR(VLOOKUP(A94,EQUIPEMENTS!A:B,2,0),""))</f>
        <v/>
      </c>
      <c r="C94" s="84">
        <f>IF(A94="","",IFERROR(VLOOKUP(A94,EQUIPEMENTS!A:D,4,0),""))</f>
        <v/>
      </c>
      <c r="D94" s="84">
        <f>IF(A94="","",IFERROR(VLOOKUP(A94,EQUIPEMENTS!A:M,13,0),""))</f>
        <v/>
      </c>
      <c r="E94" s="84">
        <f>IF(A94="","",COUNTIFS(MAINT_PREV!B:B,A94,MAINT_PREV!G:G,"Planifiée",MAINT_PREV!E:E,"&lt;"&amp;TODAY(),MAINT_PREV!H:H,""))</f>
        <v/>
      </c>
      <c r="F94" s="84">
        <f>IF(A94="","",COUNTIFS(INTERVENTIONS!B:B,A94,INTERVENTIONS!L:L,"Ouverte"))</f>
        <v/>
      </c>
      <c r="G94" s="84">
        <f>IF(A94="","",COUNTIFS(COMPOSANTS!B:B,A94,COMPOSANTS!G:G,"Défectueux"))</f>
        <v/>
      </c>
      <c r="H94" s="84">
        <f>IF(A94="","",IFERROR(VLOOKUP(A94,EQUIPEMENTS!A:R,18,0),""))</f>
        <v/>
      </c>
      <c r="I94" s="84">
        <f>IF(A94="","",IF(AND(C94="Haute",D94="En panne"),"🔴 CRITIQUE",IF(OR(E94&gt;0,F94&gt;0,G94&gt;0),"🟠 ATTENTION","🟢 OK")))</f>
        <v/>
      </c>
      <c r="J94" s="84">
        <f>IF(A94="","",IFERROR(VLOOKUP(A94,EQUIPEMENTS!A:Q,17,0),""))</f>
        <v/>
      </c>
      <c r="K94" s="84" t="n"/>
    </row>
    <row r="95" ht="15" customHeight="1" s="59">
      <c r="A95" s="87">
        <f>IFERROR(EQUIPEMENTS!A95,"")</f>
        <v/>
      </c>
      <c r="B95" s="87">
        <f>IF(A95="","",IFERROR(VLOOKUP(A95,EQUIPEMENTS!A:B,2,0),""))</f>
        <v/>
      </c>
      <c r="C95" s="87">
        <f>IF(A95="","",IFERROR(VLOOKUP(A95,EQUIPEMENTS!A:D,4,0),""))</f>
        <v/>
      </c>
      <c r="D95" s="87">
        <f>IF(A95="","",IFERROR(VLOOKUP(A95,EQUIPEMENTS!A:M,13,0),""))</f>
        <v/>
      </c>
      <c r="E95" s="87">
        <f>IF(A95="","",COUNTIFS(MAINT_PREV!B:B,A95,MAINT_PREV!G:G,"Planifiée",MAINT_PREV!E:E,"&lt;"&amp;TODAY(),MAINT_PREV!H:H,""))</f>
        <v/>
      </c>
      <c r="F95" s="87">
        <f>IF(A95="","",COUNTIFS(INTERVENTIONS!B:B,A95,INTERVENTIONS!L:L,"Ouverte"))</f>
        <v/>
      </c>
      <c r="G95" s="87">
        <f>IF(A95="","",COUNTIFS(COMPOSANTS!B:B,A95,COMPOSANTS!G:G,"Défectueux"))</f>
        <v/>
      </c>
      <c r="H95" s="87">
        <f>IF(A95="","",IFERROR(VLOOKUP(A95,EQUIPEMENTS!A:R,18,0),""))</f>
        <v/>
      </c>
      <c r="I95" s="87">
        <f>IF(A95="","",IF(AND(C95="Haute",D95="En panne"),"🔴 CRITIQUE",IF(OR(E95&gt;0,F95&gt;0,G95&gt;0),"🟠 ATTENTION","🟢 OK")))</f>
        <v/>
      </c>
      <c r="J95" s="87">
        <f>IF(A95="","",IFERROR(VLOOKUP(A95,EQUIPEMENTS!A:Q,17,0),""))</f>
        <v/>
      </c>
      <c r="K95" s="87" t="n"/>
    </row>
    <row r="96" ht="15" customHeight="1" s="59">
      <c r="A96" s="84">
        <f>IFERROR(EQUIPEMENTS!A96,"")</f>
        <v/>
      </c>
      <c r="B96" s="84">
        <f>IF(A96="","",IFERROR(VLOOKUP(A96,EQUIPEMENTS!A:B,2,0),""))</f>
        <v/>
      </c>
      <c r="C96" s="84">
        <f>IF(A96="","",IFERROR(VLOOKUP(A96,EQUIPEMENTS!A:D,4,0),""))</f>
        <v/>
      </c>
      <c r="D96" s="84">
        <f>IF(A96="","",IFERROR(VLOOKUP(A96,EQUIPEMENTS!A:M,13,0),""))</f>
        <v/>
      </c>
      <c r="E96" s="84">
        <f>IF(A96="","",COUNTIFS(MAINT_PREV!B:B,A96,MAINT_PREV!G:G,"Planifiée",MAINT_PREV!E:E,"&lt;"&amp;TODAY(),MAINT_PREV!H:H,""))</f>
        <v/>
      </c>
      <c r="F96" s="84">
        <f>IF(A96="","",COUNTIFS(INTERVENTIONS!B:B,A96,INTERVENTIONS!L:L,"Ouverte"))</f>
        <v/>
      </c>
      <c r="G96" s="84">
        <f>IF(A96="","",COUNTIFS(COMPOSANTS!B:B,A96,COMPOSANTS!G:G,"Défectueux"))</f>
        <v/>
      </c>
      <c r="H96" s="84">
        <f>IF(A96="","",IFERROR(VLOOKUP(A96,EQUIPEMENTS!A:R,18,0),""))</f>
        <v/>
      </c>
      <c r="I96" s="84">
        <f>IF(A96="","",IF(AND(C96="Haute",D96="En panne"),"🔴 CRITIQUE",IF(OR(E96&gt;0,F96&gt;0,G96&gt;0),"🟠 ATTENTION","🟢 OK")))</f>
        <v/>
      </c>
      <c r="J96" s="84">
        <f>IF(A96="","",IFERROR(VLOOKUP(A96,EQUIPEMENTS!A:Q,17,0),""))</f>
        <v/>
      </c>
      <c r="K96" s="84" t="n"/>
    </row>
    <row r="97" ht="15" customHeight="1" s="59">
      <c r="A97" s="87">
        <f>IFERROR(EQUIPEMENTS!A97,"")</f>
        <v/>
      </c>
      <c r="B97" s="87">
        <f>IF(A97="","",IFERROR(VLOOKUP(A97,EQUIPEMENTS!A:B,2,0),""))</f>
        <v/>
      </c>
      <c r="C97" s="87">
        <f>IF(A97="","",IFERROR(VLOOKUP(A97,EQUIPEMENTS!A:D,4,0),""))</f>
        <v/>
      </c>
      <c r="D97" s="87">
        <f>IF(A97="","",IFERROR(VLOOKUP(A97,EQUIPEMENTS!A:M,13,0),""))</f>
        <v/>
      </c>
      <c r="E97" s="87">
        <f>IF(A97="","",COUNTIFS(MAINT_PREV!B:B,A97,MAINT_PREV!G:G,"Planifiée",MAINT_PREV!E:E,"&lt;"&amp;TODAY(),MAINT_PREV!H:H,""))</f>
        <v/>
      </c>
      <c r="F97" s="87">
        <f>IF(A97="","",COUNTIFS(INTERVENTIONS!B:B,A97,INTERVENTIONS!L:L,"Ouverte"))</f>
        <v/>
      </c>
      <c r="G97" s="87">
        <f>IF(A97="","",COUNTIFS(COMPOSANTS!B:B,A97,COMPOSANTS!G:G,"Défectueux"))</f>
        <v/>
      </c>
      <c r="H97" s="87">
        <f>IF(A97="","",IFERROR(VLOOKUP(A97,EQUIPEMENTS!A:R,18,0),""))</f>
        <v/>
      </c>
      <c r="I97" s="87">
        <f>IF(A97="","",IF(AND(C97="Haute",D97="En panne"),"🔴 CRITIQUE",IF(OR(E97&gt;0,F97&gt;0,G97&gt;0),"🟠 ATTENTION","🟢 OK")))</f>
        <v/>
      </c>
      <c r="J97" s="87">
        <f>IF(A97="","",IFERROR(VLOOKUP(A97,EQUIPEMENTS!A:Q,17,0),""))</f>
        <v/>
      </c>
      <c r="K97" s="87" t="n"/>
    </row>
    <row r="98" ht="15" customHeight="1" s="59">
      <c r="A98" s="84">
        <f>IFERROR(EQUIPEMENTS!A98,"")</f>
        <v/>
      </c>
      <c r="B98" s="84">
        <f>IF(A98="","",IFERROR(VLOOKUP(A98,EQUIPEMENTS!A:B,2,0),""))</f>
        <v/>
      </c>
      <c r="C98" s="84">
        <f>IF(A98="","",IFERROR(VLOOKUP(A98,EQUIPEMENTS!A:D,4,0),""))</f>
        <v/>
      </c>
      <c r="D98" s="84">
        <f>IF(A98="","",IFERROR(VLOOKUP(A98,EQUIPEMENTS!A:M,13,0),""))</f>
        <v/>
      </c>
      <c r="E98" s="84">
        <f>IF(A98="","",COUNTIFS(MAINT_PREV!B:B,A98,MAINT_PREV!G:G,"Planifiée",MAINT_PREV!E:E,"&lt;"&amp;TODAY(),MAINT_PREV!H:H,""))</f>
        <v/>
      </c>
      <c r="F98" s="84">
        <f>IF(A98="","",COUNTIFS(INTERVENTIONS!B:B,A98,INTERVENTIONS!L:L,"Ouverte"))</f>
        <v/>
      </c>
      <c r="G98" s="84">
        <f>IF(A98="","",COUNTIFS(COMPOSANTS!B:B,A98,COMPOSANTS!G:G,"Défectueux"))</f>
        <v/>
      </c>
      <c r="H98" s="84">
        <f>IF(A98="","",IFERROR(VLOOKUP(A98,EQUIPEMENTS!A:R,18,0),""))</f>
        <v/>
      </c>
      <c r="I98" s="84">
        <f>IF(A98="","",IF(AND(C98="Haute",D98="En panne"),"🔴 CRITIQUE",IF(OR(E98&gt;0,F98&gt;0,G98&gt;0),"🟠 ATTENTION","🟢 OK")))</f>
        <v/>
      </c>
      <c r="J98" s="84">
        <f>IF(A98="","",IFERROR(VLOOKUP(A98,EQUIPEMENTS!A:Q,17,0),""))</f>
        <v/>
      </c>
      <c r="K98" s="84" t="n"/>
    </row>
    <row r="99" ht="15" customHeight="1" s="59">
      <c r="A99" s="87">
        <f>IFERROR(EQUIPEMENTS!A99,"")</f>
        <v/>
      </c>
      <c r="B99" s="87">
        <f>IF(A99="","",IFERROR(VLOOKUP(A99,EQUIPEMENTS!A:B,2,0),""))</f>
        <v/>
      </c>
      <c r="C99" s="87">
        <f>IF(A99="","",IFERROR(VLOOKUP(A99,EQUIPEMENTS!A:D,4,0),""))</f>
        <v/>
      </c>
      <c r="D99" s="87">
        <f>IF(A99="","",IFERROR(VLOOKUP(A99,EQUIPEMENTS!A:M,13,0),""))</f>
        <v/>
      </c>
      <c r="E99" s="87">
        <f>IF(A99="","",COUNTIFS(MAINT_PREV!B:B,A99,MAINT_PREV!G:G,"Planifiée",MAINT_PREV!E:E,"&lt;"&amp;TODAY(),MAINT_PREV!H:H,""))</f>
        <v/>
      </c>
      <c r="F99" s="87">
        <f>IF(A99="","",COUNTIFS(INTERVENTIONS!B:B,A99,INTERVENTIONS!L:L,"Ouverte"))</f>
        <v/>
      </c>
      <c r="G99" s="87">
        <f>IF(A99="","",COUNTIFS(COMPOSANTS!B:B,A99,COMPOSANTS!G:G,"Défectueux"))</f>
        <v/>
      </c>
      <c r="H99" s="87">
        <f>IF(A99="","",IFERROR(VLOOKUP(A99,EQUIPEMENTS!A:R,18,0),""))</f>
        <v/>
      </c>
      <c r="I99" s="87">
        <f>IF(A99="","",IF(AND(C99="Haute",D99="En panne"),"🔴 CRITIQUE",IF(OR(E99&gt;0,F99&gt;0,G99&gt;0),"🟠 ATTENTION","🟢 OK")))</f>
        <v/>
      </c>
      <c r="J99" s="87">
        <f>IF(A99="","",IFERROR(VLOOKUP(A99,EQUIPEMENTS!A:Q,17,0),""))</f>
        <v/>
      </c>
      <c r="K99" s="87" t="n"/>
    </row>
    <row r="100" ht="15" customHeight="1" s="59">
      <c r="A100" s="84">
        <f>IFERROR(EQUIPEMENTS!A100,"")</f>
        <v/>
      </c>
      <c r="B100" s="84">
        <f>IF(A100="","",IFERROR(VLOOKUP(A100,EQUIPEMENTS!A:B,2,0),""))</f>
        <v/>
      </c>
      <c r="C100" s="84">
        <f>IF(A100="","",IFERROR(VLOOKUP(A100,EQUIPEMENTS!A:D,4,0),""))</f>
        <v/>
      </c>
      <c r="D100" s="84">
        <f>IF(A100="","",IFERROR(VLOOKUP(A100,EQUIPEMENTS!A:M,13,0),""))</f>
        <v/>
      </c>
      <c r="E100" s="84">
        <f>IF(A100="","",COUNTIFS(MAINT_PREV!B:B,A100,MAINT_PREV!G:G,"Planifiée",MAINT_PREV!E:E,"&lt;"&amp;TODAY(),MAINT_PREV!H:H,""))</f>
        <v/>
      </c>
      <c r="F100" s="84">
        <f>IF(A100="","",COUNTIFS(INTERVENTIONS!B:B,A100,INTERVENTIONS!L:L,"Ouverte"))</f>
        <v/>
      </c>
      <c r="G100" s="84">
        <f>IF(A100="","",COUNTIFS(COMPOSANTS!B:B,A100,COMPOSANTS!G:G,"Défectueux"))</f>
        <v/>
      </c>
      <c r="H100" s="84">
        <f>IF(A100="","",IFERROR(VLOOKUP(A100,EQUIPEMENTS!A:R,18,0),""))</f>
        <v/>
      </c>
      <c r="I100" s="84">
        <f>IF(A100="","",IF(AND(C100="Haute",D100="En panne"),"🔴 CRITIQUE",IF(OR(E100&gt;0,F100&gt;0,G100&gt;0),"🟠 ATTENTION","🟢 OK")))</f>
        <v/>
      </c>
      <c r="J100" s="84">
        <f>IF(A100="","",IFERROR(VLOOKUP(A100,EQUIPEMENTS!A:Q,17,0),""))</f>
        <v/>
      </c>
      <c r="K100" s="84" t="n"/>
    </row>
    <row r="101" ht="15" customHeight="1" s="59">
      <c r="A101" s="87">
        <f>IFERROR(EQUIPEMENTS!A101,"")</f>
        <v/>
      </c>
      <c r="B101" s="87">
        <f>IF(A101="","",IFERROR(VLOOKUP(A101,EQUIPEMENTS!A:B,2,0),""))</f>
        <v/>
      </c>
      <c r="C101" s="87">
        <f>IF(A101="","",IFERROR(VLOOKUP(A101,EQUIPEMENTS!A:D,4,0),""))</f>
        <v/>
      </c>
      <c r="D101" s="87">
        <f>IF(A101="","",IFERROR(VLOOKUP(A101,EQUIPEMENTS!A:M,13,0),""))</f>
        <v/>
      </c>
      <c r="E101" s="87">
        <f>IF(A101="","",COUNTIFS(MAINT_PREV!B:B,A101,MAINT_PREV!G:G,"Planifiée",MAINT_PREV!E:E,"&lt;"&amp;TODAY(),MAINT_PREV!H:H,""))</f>
        <v/>
      </c>
      <c r="F101" s="87">
        <f>IF(A101="","",COUNTIFS(INTERVENTIONS!B:B,A101,INTERVENTIONS!L:L,"Ouverte"))</f>
        <v/>
      </c>
      <c r="G101" s="87">
        <f>IF(A101="","",COUNTIFS(COMPOSANTS!B:B,A101,COMPOSANTS!G:G,"Défectueux"))</f>
        <v/>
      </c>
      <c r="H101" s="87">
        <f>IF(A101="","",IFERROR(VLOOKUP(A101,EQUIPEMENTS!A:R,18,0),""))</f>
        <v/>
      </c>
      <c r="I101" s="87">
        <f>IF(A101="","",IF(AND(C101="Haute",D101="En panne"),"🔴 CRITIQUE",IF(OR(E101&gt;0,F101&gt;0,G101&gt;0),"🟠 ATTENTION","🟢 OK")))</f>
        <v/>
      </c>
      <c r="J101" s="87">
        <f>IF(A101="","",IFERROR(VLOOKUP(A101,EQUIPEMENTS!A:Q,17,0),""))</f>
        <v/>
      </c>
      <c r="K101" s="87" t="n"/>
    </row>
    <row r="102" ht="15" customHeight="1" s="59">
      <c r="A102" s="84">
        <f>IFERROR(EQUIPEMENTS!A102,"")</f>
        <v/>
      </c>
      <c r="B102" s="84">
        <f>IF(A102="","",IFERROR(VLOOKUP(A102,EQUIPEMENTS!A:B,2,0),""))</f>
        <v/>
      </c>
      <c r="C102" s="84">
        <f>IF(A102="","",IFERROR(VLOOKUP(A102,EQUIPEMENTS!A:D,4,0),""))</f>
        <v/>
      </c>
      <c r="D102" s="84">
        <f>IF(A102="","",IFERROR(VLOOKUP(A102,EQUIPEMENTS!A:M,13,0),""))</f>
        <v/>
      </c>
      <c r="E102" s="84">
        <f>IF(A102="","",COUNTIFS(MAINT_PREV!B:B,A102,MAINT_PREV!G:G,"Planifiée",MAINT_PREV!E:E,"&lt;"&amp;TODAY(),MAINT_PREV!H:H,""))</f>
        <v/>
      </c>
      <c r="F102" s="84">
        <f>IF(A102="","",COUNTIFS(INTERVENTIONS!B:B,A102,INTERVENTIONS!L:L,"Ouverte"))</f>
        <v/>
      </c>
      <c r="G102" s="84">
        <f>IF(A102="","",COUNTIFS(COMPOSANTS!B:B,A102,COMPOSANTS!G:G,"Défectueux"))</f>
        <v/>
      </c>
      <c r="H102" s="84">
        <f>IF(A102="","",IFERROR(VLOOKUP(A102,EQUIPEMENTS!A:R,18,0),""))</f>
        <v/>
      </c>
      <c r="I102" s="84">
        <f>IF(A102="","",IF(AND(C102="Haute",D102="En panne"),"🔴 CRITIQUE",IF(OR(E102&gt;0,F102&gt;0,G102&gt;0),"🟠 ATTENTION","🟢 OK")))</f>
        <v/>
      </c>
      <c r="J102" s="84">
        <f>IF(A102="","",IFERROR(VLOOKUP(A102,EQUIPEMENTS!A:Q,17,0),""))</f>
        <v/>
      </c>
      <c r="K102" s="84" t="n"/>
    </row>
    <row r="103" ht="15" customHeight="1" s="59">
      <c r="A103" s="87">
        <f>IFERROR(EQUIPEMENTS!A103,"")</f>
        <v/>
      </c>
      <c r="B103" s="87">
        <f>IF(A103="","",IFERROR(VLOOKUP(A103,EQUIPEMENTS!A:B,2,0),""))</f>
        <v/>
      </c>
      <c r="C103" s="87">
        <f>IF(A103="","",IFERROR(VLOOKUP(A103,EQUIPEMENTS!A:D,4,0),""))</f>
        <v/>
      </c>
      <c r="D103" s="87">
        <f>IF(A103="","",IFERROR(VLOOKUP(A103,EQUIPEMENTS!A:M,13,0),""))</f>
        <v/>
      </c>
      <c r="E103" s="87">
        <f>IF(A103="","",COUNTIFS(MAINT_PREV!B:B,A103,MAINT_PREV!G:G,"Planifiée",MAINT_PREV!E:E,"&lt;"&amp;TODAY(),MAINT_PREV!H:H,""))</f>
        <v/>
      </c>
      <c r="F103" s="87">
        <f>IF(A103="","",COUNTIFS(INTERVENTIONS!B:B,A103,INTERVENTIONS!L:L,"Ouverte"))</f>
        <v/>
      </c>
      <c r="G103" s="87">
        <f>IF(A103="","",COUNTIFS(COMPOSANTS!B:B,A103,COMPOSANTS!G:G,"Défectueux"))</f>
        <v/>
      </c>
      <c r="H103" s="87">
        <f>IF(A103="","",IFERROR(VLOOKUP(A103,EQUIPEMENTS!A:R,18,0),""))</f>
        <v/>
      </c>
      <c r="I103" s="87">
        <f>IF(A103="","",IF(AND(C103="Haute",D103="En panne"),"🔴 CRITIQUE",IF(OR(E103&gt;0,F103&gt;0,G103&gt;0),"🟠 ATTENTION","🟢 OK")))</f>
        <v/>
      </c>
      <c r="J103" s="87">
        <f>IF(A103="","",IFERROR(VLOOKUP(A103,EQUIPEMENTS!A:Q,17,0),""))</f>
        <v/>
      </c>
      <c r="K103" s="87" t="n"/>
    </row>
    <row r="104" ht="15" customHeight="1" s="59">
      <c r="A104" s="84">
        <f>IFERROR(EQUIPEMENTS!A104,"")</f>
        <v/>
      </c>
      <c r="B104" s="84">
        <f>IF(A104="","",IFERROR(VLOOKUP(A104,EQUIPEMENTS!A:B,2,0),""))</f>
        <v/>
      </c>
      <c r="C104" s="84">
        <f>IF(A104="","",IFERROR(VLOOKUP(A104,EQUIPEMENTS!A:D,4,0),""))</f>
        <v/>
      </c>
      <c r="D104" s="84">
        <f>IF(A104="","",IFERROR(VLOOKUP(A104,EQUIPEMENTS!A:M,13,0),""))</f>
        <v/>
      </c>
      <c r="E104" s="84">
        <f>IF(A104="","",COUNTIFS(MAINT_PREV!B:B,A104,MAINT_PREV!G:G,"Planifiée",MAINT_PREV!E:E,"&lt;"&amp;TODAY(),MAINT_PREV!H:H,""))</f>
        <v/>
      </c>
      <c r="F104" s="84">
        <f>IF(A104="","",COUNTIFS(INTERVENTIONS!B:B,A104,INTERVENTIONS!L:L,"Ouverte"))</f>
        <v/>
      </c>
      <c r="G104" s="84">
        <f>IF(A104="","",COUNTIFS(COMPOSANTS!B:B,A104,COMPOSANTS!G:G,"Défectueux"))</f>
        <v/>
      </c>
      <c r="H104" s="84">
        <f>IF(A104="","",IFERROR(VLOOKUP(A104,EQUIPEMENTS!A:R,18,0),""))</f>
        <v/>
      </c>
      <c r="I104" s="84">
        <f>IF(A104="","",IF(AND(C104="Haute",D104="En panne"),"🔴 CRITIQUE",IF(OR(E104&gt;0,F104&gt;0,G104&gt;0),"🟠 ATTENTION","🟢 OK")))</f>
        <v/>
      </c>
      <c r="J104" s="84">
        <f>IF(A104="","",IFERROR(VLOOKUP(A104,EQUIPEMENTS!A:Q,17,0),""))</f>
        <v/>
      </c>
      <c r="K104" s="84" t="n"/>
    </row>
    <row r="105" ht="15" customHeight="1" s="59">
      <c r="A105" s="87">
        <f>IFERROR(EQUIPEMENTS!A105,"")</f>
        <v/>
      </c>
      <c r="B105" s="87">
        <f>IF(A105="","",IFERROR(VLOOKUP(A105,EQUIPEMENTS!A:B,2,0),""))</f>
        <v/>
      </c>
      <c r="C105" s="87">
        <f>IF(A105="","",IFERROR(VLOOKUP(A105,EQUIPEMENTS!A:D,4,0),""))</f>
        <v/>
      </c>
      <c r="D105" s="87">
        <f>IF(A105="","",IFERROR(VLOOKUP(A105,EQUIPEMENTS!A:M,13,0),""))</f>
        <v/>
      </c>
      <c r="E105" s="87">
        <f>IF(A105="","",COUNTIFS(MAINT_PREV!B:B,A105,MAINT_PREV!G:G,"Planifiée",MAINT_PREV!E:E,"&lt;"&amp;TODAY(),MAINT_PREV!H:H,""))</f>
        <v/>
      </c>
      <c r="F105" s="87">
        <f>IF(A105="","",COUNTIFS(INTERVENTIONS!B:B,A105,INTERVENTIONS!L:L,"Ouverte"))</f>
        <v/>
      </c>
      <c r="G105" s="87">
        <f>IF(A105="","",COUNTIFS(COMPOSANTS!B:B,A105,COMPOSANTS!G:G,"Défectueux"))</f>
        <v/>
      </c>
      <c r="H105" s="87">
        <f>IF(A105="","",IFERROR(VLOOKUP(A105,EQUIPEMENTS!A:R,18,0),""))</f>
        <v/>
      </c>
      <c r="I105" s="87">
        <f>IF(A105="","",IF(AND(C105="Haute",D105="En panne"),"🔴 CRITIQUE",IF(OR(E105&gt;0,F105&gt;0,G105&gt;0),"🟠 ATTENTION","🟢 OK")))</f>
        <v/>
      </c>
      <c r="J105" s="87">
        <f>IF(A105="","",IFERROR(VLOOKUP(A105,EQUIPEMENTS!A:Q,17,0),""))</f>
        <v/>
      </c>
      <c r="K105" s="87" t="n"/>
    </row>
    <row r="106" ht="15" customHeight="1" s="59">
      <c r="A106" s="84">
        <f>IFERROR(EQUIPEMENTS!A106,"")</f>
        <v/>
      </c>
      <c r="B106" s="84">
        <f>IF(A106="","",IFERROR(VLOOKUP(A106,EQUIPEMENTS!A:B,2,0),""))</f>
        <v/>
      </c>
      <c r="C106" s="84">
        <f>IF(A106="","",IFERROR(VLOOKUP(A106,EQUIPEMENTS!A:D,4,0),""))</f>
        <v/>
      </c>
      <c r="D106" s="84">
        <f>IF(A106="","",IFERROR(VLOOKUP(A106,EQUIPEMENTS!A:M,13,0),""))</f>
        <v/>
      </c>
      <c r="E106" s="84">
        <f>IF(A106="","",COUNTIFS(MAINT_PREV!B:B,A106,MAINT_PREV!G:G,"Planifiée",MAINT_PREV!E:E,"&lt;"&amp;TODAY(),MAINT_PREV!H:H,""))</f>
        <v/>
      </c>
      <c r="F106" s="84">
        <f>IF(A106="","",COUNTIFS(INTERVENTIONS!B:B,A106,INTERVENTIONS!L:L,"Ouverte"))</f>
        <v/>
      </c>
      <c r="G106" s="84">
        <f>IF(A106="","",COUNTIFS(COMPOSANTS!B:B,A106,COMPOSANTS!G:G,"Défectueux"))</f>
        <v/>
      </c>
      <c r="H106" s="84">
        <f>IF(A106="","",IFERROR(VLOOKUP(A106,EQUIPEMENTS!A:R,18,0),""))</f>
        <v/>
      </c>
      <c r="I106" s="84">
        <f>IF(A106="","",IF(AND(C106="Haute",D106="En panne"),"🔴 CRITIQUE",IF(OR(E106&gt;0,F106&gt;0,G106&gt;0),"🟠 ATTENTION","🟢 OK")))</f>
        <v/>
      </c>
      <c r="J106" s="84">
        <f>IF(A106="","",IFERROR(VLOOKUP(A106,EQUIPEMENTS!A:Q,17,0),""))</f>
        <v/>
      </c>
      <c r="K106" s="84" t="n"/>
    </row>
    <row r="107" ht="15" customHeight="1" s="59">
      <c r="A107" s="87">
        <f>IFERROR(EQUIPEMENTS!A107,"")</f>
        <v/>
      </c>
      <c r="B107" s="87">
        <f>IF(A107="","",IFERROR(VLOOKUP(A107,EQUIPEMENTS!A:B,2,0),""))</f>
        <v/>
      </c>
      <c r="C107" s="87">
        <f>IF(A107="","",IFERROR(VLOOKUP(A107,EQUIPEMENTS!A:D,4,0),""))</f>
        <v/>
      </c>
      <c r="D107" s="87">
        <f>IF(A107="","",IFERROR(VLOOKUP(A107,EQUIPEMENTS!A:M,13,0),""))</f>
        <v/>
      </c>
      <c r="E107" s="87">
        <f>IF(A107="","",COUNTIFS(MAINT_PREV!B:B,A107,MAINT_PREV!G:G,"Planifiée",MAINT_PREV!E:E,"&lt;"&amp;TODAY(),MAINT_PREV!H:H,""))</f>
        <v/>
      </c>
      <c r="F107" s="87">
        <f>IF(A107="","",COUNTIFS(INTERVENTIONS!B:B,A107,INTERVENTIONS!L:L,"Ouverte"))</f>
        <v/>
      </c>
      <c r="G107" s="87">
        <f>IF(A107="","",COUNTIFS(COMPOSANTS!B:B,A107,COMPOSANTS!G:G,"Défectueux"))</f>
        <v/>
      </c>
      <c r="H107" s="87">
        <f>IF(A107="","",IFERROR(VLOOKUP(A107,EQUIPEMENTS!A:R,18,0),""))</f>
        <v/>
      </c>
      <c r="I107" s="87">
        <f>IF(A107="","",IF(AND(C107="Haute",D107="En panne"),"🔴 CRITIQUE",IF(OR(E107&gt;0,F107&gt;0,G107&gt;0),"🟠 ATTENTION","🟢 OK")))</f>
        <v/>
      </c>
      <c r="J107" s="87">
        <f>IF(A107="","",IFERROR(VLOOKUP(A107,EQUIPEMENTS!A:Q,17,0),""))</f>
        <v/>
      </c>
      <c r="K107" s="87" t="n"/>
    </row>
    <row r="108" ht="15" customHeight="1" s="59">
      <c r="A108" s="84">
        <f>IFERROR(EQUIPEMENTS!A108,"")</f>
        <v/>
      </c>
      <c r="B108" s="84">
        <f>IF(A108="","",IFERROR(VLOOKUP(A108,EQUIPEMENTS!A:B,2,0),""))</f>
        <v/>
      </c>
      <c r="C108" s="84">
        <f>IF(A108="","",IFERROR(VLOOKUP(A108,EQUIPEMENTS!A:D,4,0),""))</f>
        <v/>
      </c>
      <c r="D108" s="84">
        <f>IF(A108="","",IFERROR(VLOOKUP(A108,EQUIPEMENTS!A:M,13,0),""))</f>
        <v/>
      </c>
      <c r="E108" s="84">
        <f>IF(A108="","",COUNTIFS(MAINT_PREV!B:B,A108,MAINT_PREV!G:G,"Planifiée",MAINT_PREV!E:E,"&lt;"&amp;TODAY(),MAINT_PREV!H:H,""))</f>
        <v/>
      </c>
      <c r="F108" s="84">
        <f>IF(A108="","",COUNTIFS(INTERVENTIONS!B:B,A108,INTERVENTIONS!L:L,"Ouverte"))</f>
        <v/>
      </c>
      <c r="G108" s="84">
        <f>IF(A108="","",COUNTIFS(COMPOSANTS!B:B,A108,COMPOSANTS!G:G,"Défectueux"))</f>
        <v/>
      </c>
      <c r="H108" s="84">
        <f>IF(A108="","",IFERROR(VLOOKUP(A108,EQUIPEMENTS!A:R,18,0),""))</f>
        <v/>
      </c>
      <c r="I108" s="84">
        <f>IF(A108="","",IF(AND(C108="Haute",D108="En panne"),"🔴 CRITIQUE",IF(OR(E108&gt;0,F108&gt;0,G108&gt;0),"🟠 ATTENTION","🟢 OK")))</f>
        <v/>
      </c>
      <c r="J108" s="84">
        <f>IF(A108="","",IFERROR(VLOOKUP(A108,EQUIPEMENTS!A:Q,17,0),""))</f>
        <v/>
      </c>
      <c r="K108" s="84" t="n"/>
    </row>
    <row r="109" ht="15" customHeight="1" s="59">
      <c r="A109" s="87">
        <f>IFERROR(EQUIPEMENTS!A109,"")</f>
        <v/>
      </c>
      <c r="B109" s="87">
        <f>IF(A109="","",IFERROR(VLOOKUP(A109,EQUIPEMENTS!A:B,2,0),""))</f>
        <v/>
      </c>
      <c r="C109" s="87">
        <f>IF(A109="","",IFERROR(VLOOKUP(A109,EQUIPEMENTS!A:D,4,0),""))</f>
        <v/>
      </c>
      <c r="D109" s="87">
        <f>IF(A109="","",IFERROR(VLOOKUP(A109,EQUIPEMENTS!A:M,13,0),""))</f>
        <v/>
      </c>
      <c r="E109" s="87">
        <f>IF(A109="","",COUNTIFS(MAINT_PREV!B:B,A109,MAINT_PREV!G:G,"Planifiée",MAINT_PREV!E:E,"&lt;"&amp;TODAY(),MAINT_PREV!H:H,""))</f>
        <v/>
      </c>
      <c r="F109" s="87">
        <f>IF(A109="","",COUNTIFS(INTERVENTIONS!B:B,A109,INTERVENTIONS!L:L,"Ouverte"))</f>
        <v/>
      </c>
      <c r="G109" s="87">
        <f>IF(A109="","",COUNTIFS(COMPOSANTS!B:B,A109,COMPOSANTS!G:G,"Défectueux"))</f>
        <v/>
      </c>
      <c r="H109" s="87">
        <f>IF(A109="","",IFERROR(VLOOKUP(A109,EQUIPEMENTS!A:R,18,0),""))</f>
        <v/>
      </c>
      <c r="I109" s="87">
        <f>IF(A109="","",IF(AND(C109="Haute",D109="En panne"),"🔴 CRITIQUE",IF(OR(E109&gt;0,F109&gt;0,G109&gt;0),"🟠 ATTENTION","🟢 OK")))</f>
        <v/>
      </c>
      <c r="J109" s="87">
        <f>IF(A109="","",IFERROR(VLOOKUP(A109,EQUIPEMENTS!A:Q,17,0),""))</f>
        <v/>
      </c>
      <c r="K109" s="87" t="n"/>
    </row>
    <row r="110" ht="15" customHeight="1" s="59">
      <c r="A110" s="84">
        <f>IFERROR(EQUIPEMENTS!A110,"")</f>
        <v/>
      </c>
      <c r="B110" s="84">
        <f>IF(A110="","",IFERROR(VLOOKUP(A110,EQUIPEMENTS!A:B,2,0),""))</f>
        <v/>
      </c>
      <c r="C110" s="84">
        <f>IF(A110="","",IFERROR(VLOOKUP(A110,EQUIPEMENTS!A:D,4,0),""))</f>
        <v/>
      </c>
      <c r="D110" s="84">
        <f>IF(A110="","",IFERROR(VLOOKUP(A110,EQUIPEMENTS!A:M,13,0),""))</f>
        <v/>
      </c>
      <c r="E110" s="84">
        <f>IF(A110="","",COUNTIFS(MAINT_PREV!B:B,A110,MAINT_PREV!G:G,"Planifiée",MAINT_PREV!E:E,"&lt;"&amp;TODAY(),MAINT_PREV!H:H,""))</f>
        <v/>
      </c>
      <c r="F110" s="84">
        <f>IF(A110="","",COUNTIFS(INTERVENTIONS!B:B,A110,INTERVENTIONS!L:L,"Ouverte"))</f>
        <v/>
      </c>
      <c r="G110" s="84">
        <f>IF(A110="","",COUNTIFS(COMPOSANTS!B:B,A110,COMPOSANTS!G:G,"Défectueux"))</f>
        <v/>
      </c>
      <c r="H110" s="84">
        <f>IF(A110="","",IFERROR(VLOOKUP(A110,EQUIPEMENTS!A:R,18,0),""))</f>
        <v/>
      </c>
      <c r="I110" s="84">
        <f>IF(A110="","",IF(AND(C110="Haute",D110="En panne"),"🔴 CRITIQUE",IF(OR(E110&gt;0,F110&gt;0,G110&gt;0),"🟠 ATTENTION","🟢 OK")))</f>
        <v/>
      </c>
      <c r="J110" s="84">
        <f>IF(A110="","",IFERROR(VLOOKUP(A110,EQUIPEMENTS!A:Q,17,0),""))</f>
        <v/>
      </c>
      <c r="K110" s="84" t="n"/>
    </row>
    <row r="111" ht="15" customHeight="1" s="59">
      <c r="A111" s="87">
        <f>IFERROR(EQUIPEMENTS!A111,"")</f>
        <v/>
      </c>
      <c r="B111" s="87">
        <f>IF(A111="","",IFERROR(VLOOKUP(A111,EQUIPEMENTS!A:B,2,0),""))</f>
        <v/>
      </c>
      <c r="C111" s="87">
        <f>IF(A111="","",IFERROR(VLOOKUP(A111,EQUIPEMENTS!A:D,4,0),""))</f>
        <v/>
      </c>
      <c r="D111" s="87">
        <f>IF(A111="","",IFERROR(VLOOKUP(A111,EQUIPEMENTS!A:M,13,0),""))</f>
        <v/>
      </c>
      <c r="E111" s="87">
        <f>IF(A111="","",COUNTIFS(MAINT_PREV!B:B,A111,MAINT_PREV!G:G,"Planifiée",MAINT_PREV!E:E,"&lt;"&amp;TODAY(),MAINT_PREV!H:H,""))</f>
        <v/>
      </c>
      <c r="F111" s="87">
        <f>IF(A111="","",COUNTIFS(INTERVENTIONS!B:B,A111,INTERVENTIONS!L:L,"Ouverte"))</f>
        <v/>
      </c>
      <c r="G111" s="87">
        <f>IF(A111="","",COUNTIFS(COMPOSANTS!B:B,A111,COMPOSANTS!G:G,"Défectueux"))</f>
        <v/>
      </c>
      <c r="H111" s="87">
        <f>IF(A111="","",IFERROR(VLOOKUP(A111,EQUIPEMENTS!A:R,18,0),""))</f>
        <v/>
      </c>
      <c r="I111" s="87">
        <f>IF(A111="","",IF(AND(C111="Haute",D111="En panne"),"🔴 CRITIQUE",IF(OR(E111&gt;0,F111&gt;0,G111&gt;0),"🟠 ATTENTION","🟢 OK")))</f>
        <v/>
      </c>
      <c r="J111" s="87">
        <f>IF(A111="","",IFERROR(VLOOKUP(A111,EQUIPEMENTS!A:Q,17,0),""))</f>
        <v/>
      </c>
      <c r="K111" s="87" t="n"/>
    </row>
    <row r="112" ht="15" customHeight="1" s="59">
      <c r="A112" s="84">
        <f>IFERROR(EQUIPEMENTS!A112,"")</f>
        <v/>
      </c>
      <c r="B112" s="84">
        <f>IF(A112="","",IFERROR(VLOOKUP(A112,EQUIPEMENTS!A:B,2,0),""))</f>
        <v/>
      </c>
      <c r="C112" s="84">
        <f>IF(A112="","",IFERROR(VLOOKUP(A112,EQUIPEMENTS!A:D,4,0),""))</f>
        <v/>
      </c>
      <c r="D112" s="84">
        <f>IF(A112="","",IFERROR(VLOOKUP(A112,EQUIPEMENTS!A:M,13,0),""))</f>
        <v/>
      </c>
      <c r="E112" s="84">
        <f>IF(A112="","",COUNTIFS(MAINT_PREV!B:B,A112,MAINT_PREV!G:G,"Planifiée",MAINT_PREV!E:E,"&lt;"&amp;TODAY(),MAINT_PREV!H:H,""))</f>
        <v/>
      </c>
      <c r="F112" s="84">
        <f>IF(A112="","",COUNTIFS(INTERVENTIONS!B:B,A112,INTERVENTIONS!L:L,"Ouverte"))</f>
        <v/>
      </c>
      <c r="G112" s="84">
        <f>IF(A112="","",COUNTIFS(COMPOSANTS!B:B,A112,COMPOSANTS!G:G,"Défectueux"))</f>
        <v/>
      </c>
      <c r="H112" s="84">
        <f>IF(A112="","",IFERROR(VLOOKUP(A112,EQUIPEMENTS!A:R,18,0),""))</f>
        <v/>
      </c>
      <c r="I112" s="84">
        <f>IF(A112="","",IF(AND(C112="Haute",D112="En panne"),"🔴 CRITIQUE",IF(OR(E112&gt;0,F112&gt;0,G112&gt;0),"🟠 ATTENTION","🟢 OK")))</f>
        <v/>
      </c>
      <c r="J112" s="84">
        <f>IF(A112="","",IFERROR(VLOOKUP(A112,EQUIPEMENTS!A:Q,17,0),""))</f>
        <v/>
      </c>
      <c r="K112" s="84" t="n"/>
    </row>
    <row r="113" ht="15" customHeight="1" s="59">
      <c r="A113" s="87">
        <f>IFERROR(EQUIPEMENTS!A113,"")</f>
        <v/>
      </c>
      <c r="B113" s="87">
        <f>IF(A113="","",IFERROR(VLOOKUP(A113,EQUIPEMENTS!A:B,2,0),""))</f>
        <v/>
      </c>
      <c r="C113" s="87">
        <f>IF(A113="","",IFERROR(VLOOKUP(A113,EQUIPEMENTS!A:D,4,0),""))</f>
        <v/>
      </c>
      <c r="D113" s="87">
        <f>IF(A113="","",IFERROR(VLOOKUP(A113,EQUIPEMENTS!A:M,13,0),""))</f>
        <v/>
      </c>
      <c r="E113" s="87">
        <f>IF(A113="","",COUNTIFS(MAINT_PREV!B:B,A113,MAINT_PREV!G:G,"Planifiée",MAINT_PREV!E:E,"&lt;"&amp;TODAY(),MAINT_PREV!H:H,""))</f>
        <v/>
      </c>
      <c r="F113" s="87">
        <f>IF(A113="","",COUNTIFS(INTERVENTIONS!B:B,A113,INTERVENTIONS!L:L,"Ouverte"))</f>
        <v/>
      </c>
      <c r="G113" s="87">
        <f>IF(A113="","",COUNTIFS(COMPOSANTS!B:B,A113,COMPOSANTS!G:G,"Défectueux"))</f>
        <v/>
      </c>
      <c r="H113" s="87">
        <f>IF(A113="","",IFERROR(VLOOKUP(A113,EQUIPEMENTS!A:R,18,0),""))</f>
        <v/>
      </c>
      <c r="I113" s="87">
        <f>IF(A113="","",IF(AND(C113="Haute",D113="En panne"),"🔴 CRITIQUE",IF(OR(E113&gt;0,F113&gt;0,G113&gt;0),"🟠 ATTENTION","🟢 OK")))</f>
        <v/>
      </c>
      <c r="J113" s="87">
        <f>IF(A113="","",IFERROR(VLOOKUP(A113,EQUIPEMENTS!A:Q,17,0),""))</f>
        <v/>
      </c>
      <c r="K113" s="87" t="n"/>
    </row>
    <row r="114" ht="15" customHeight="1" s="59">
      <c r="A114" s="84">
        <f>IFERROR(EQUIPEMENTS!A114,"")</f>
        <v/>
      </c>
      <c r="B114" s="84">
        <f>IF(A114="","",IFERROR(VLOOKUP(A114,EQUIPEMENTS!A:B,2,0),""))</f>
        <v/>
      </c>
      <c r="C114" s="84">
        <f>IF(A114="","",IFERROR(VLOOKUP(A114,EQUIPEMENTS!A:D,4,0),""))</f>
        <v/>
      </c>
      <c r="D114" s="84">
        <f>IF(A114="","",IFERROR(VLOOKUP(A114,EQUIPEMENTS!A:M,13,0),""))</f>
        <v/>
      </c>
      <c r="E114" s="84">
        <f>IF(A114="","",COUNTIFS(MAINT_PREV!B:B,A114,MAINT_PREV!G:G,"Planifiée",MAINT_PREV!E:E,"&lt;"&amp;TODAY(),MAINT_PREV!H:H,""))</f>
        <v/>
      </c>
      <c r="F114" s="84">
        <f>IF(A114="","",COUNTIFS(INTERVENTIONS!B:B,A114,INTERVENTIONS!L:L,"Ouverte"))</f>
        <v/>
      </c>
      <c r="G114" s="84">
        <f>IF(A114="","",COUNTIFS(COMPOSANTS!B:B,A114,COMPOSANTS!G:G,"Défectueux"))</f>
        <v/>
      </c>
      <c r="H114" s="84">
        <f>IF(A114="","",IFERROR(VLOOKUP(A114,EQUIPEMENTS!A:R,18,0),""))</f>
        <v/>
      </c>
      <c r="I114" s="84">
        <f>IF(A114="","",IF(AND(C114="Haute",D114="En panne"),"🔴 CRITIQUE",IF(OR(E114&gt;0,F114&gt;0,G114&gt;0),"🟠 ATTENTION","🟢 OK")))</f>
        <v/>
      </c>
      <c r="J114" s="84">
        <f>IF(A114="","",IFERROR(VLOOKUP(A114,EQUIPEMENTS!A:Q,17,0),""))</f>
        <v/>
      </c>
      <c r="K114" s="84" t="n"/>
    </row>
    <row r="115" ht="15" customHeight="1" s="59">
      <c r="A115" s="87">
        <f>IFERROR(EQUIPEMENTS!A115,"")</f>
        <v/>
      </c>
      <c r="B115" s="87">
        <f>IF(A115="","",IFERROR(VLOOKUP(A115,EQUIPEMENTS!A:B,2,0),""))</f>
        <v/>
      </c>
      <c r="C115" s="87">
        <f>IF(A115="","",IFERROR(VLOOKUP(A115,EQUIPEMENTS!A:D,4,0),""))</f>
        <v/>
      </c>
      <c r="D115" s="87">
        <f>IF(A115="","",IFERROR(VLOOKUP(A115,EQUIPEMENTS!A:M,13,0),""))</f>
        <v/>
      </c>
      <c r="E115" s="87">
        <f>IF(A115="","",COUNTIFS(MAINT_PREV!B:B,A115,MAINT_PREV!G:G,"Planifiée",MAINT_PREV!E:E,"&lt;"&amp;TODAY(),MAINT_PREV!H:H,""))</f>
        <v/>
      </c>
      <c r="F115" s="87">
        <f>IF(A115="","",COUNTIFS(INTERVENTIONS!B:B,A115,INTERVENTIONS!L:L,"Ouverte"))</f>
        <v/>
      </c>
      <c r="G115" s="87">
        <f>IF(A115="","",COUNTIFS(COMPOSANTS!B:B,A115,COMPOSANTS!G:G,"Défectueux"))</f>
        <v/>
      </c>
      <c r="H115" s="87">
        <f>IF(A115="","",IFERROR(VLOOKUP(A115,EQUIPEMENTS!A:R,18,0),""))</f>
        <v/>
      </c>
      <c r="I115" s="87">
        <f>IF(A115="","",IF(AND(C115="Haute",D115="En panne"),"🔴 CRITIQUE",IF(OR(E115&gt;0,F115&gt;0,G115&gt;0),"🟠 ATTENTION","🟢 OK")))</f>
        <v/>
      </c>
      <c r="J115" s="87">
        <f>IF(A115="","",IFERROR(VLOOKUP(A115,EQUIPEMENTS!A:Q,17,0),""))</f>
        <v/>
      </c>
      <c r="K115" s="87" t="n"/>
    </row>
    <row r="116" ht="15" customHeight="1" s="59">
      <c r="A116" s="84">
        <f>IFERROR(EQUIPEMENTS!A116,"")</f>
        <v/>
      </c>
      <c r="B116" s="84">
        <f>IF(A116="","",IFERROR(VLOOKUP(A116,EQUIPEMENTS!A:B,2,0),""))</f>
        <v/>
      </c>
      <c r="C116" s="84">
        <f>IF(A116="","",IFERROR(VLOOKUP(A116,EQUIPEMENTS!A:D,4,0),""))</f>
        <v/>
      </c>
      <c r="D116" s="84">
        <f>IF(A116="","",IFERROR(VLOOKUP(A116,EQUIPEMENTS!A:M,13,0),""))</f>
        <v/>
      </c>
      <c r="E116" s="84">
        <f>IF(A116="","",COUNTIFS(MAINT_PREV!B:B,A116,MAINT_PREV!G:G,"Planifiée",MAINT_PREV!E:E,"&lt;"&amp;TODAY(),MAINT_PREV!H:H,""))</f>
        <v/>
      </c>
      <c r="F116" s="84">
        <f>IF(A116="","",COUNTIFS(INTERVENTIONS!B:B,A116,INTERVENTIONS!L:L,"Ouverte"))</f>
        <v/>
      </c>
      <c r="G116" s="84">
        <f>IF(A116="","",COUNTIFS(COMPOSANTS!B:B,A116,COMPOSANTS!G:G,"Défectueux"))</f>
        <v/>
      </c>
      <c r="H116" s="84">
        <f>IF(A116="","",IFERROR(VLOOKUP(A116,EQUIPEMENTS!A:R,18,0),""))</f>
        <v/>
      </c>
      <c r="I116" s="84">
        <f>IF(A116="","",IF(AND(C116="Haute",D116="En panne"),"🔴 CRITIQUE",IF(OR(E116&gt;0,F116&gt;0,G116&gt;0),"🟠 ATTENTION","🟢 OK")))</f>
        <v/>
      </c>
      <c r="J116" s="84">
        <f>IF(A116="","",IFERROR(VLOOKUP(A116,EQUIPEMENTS!A:Q,17,0),""))</f>
        <v/>
      </c>
      <c r="K116" s="84" t="n"/>
    </row>
    <row r="117" ht="15" customHeight="1" s="59">
      <c r="A117" s="87">
        <f>IFERROR(EQUIPEMENTS!A117,"")</f>
        <v/>
      </c>
      <c r="B117" s="87">
        <f>IF(A117="","",IFERROR(VLOOKUP(A117,EQUIPEMENTS!A:B,2,0),""))</f>
        <v/>
      </c>
      <c r="C117" s="87">
        <f>IF(A117="","",IFERROR(VLOOKUP(A117,EQUIPEMENTS!A:D,4,0),""))</f>
        <v/>
      </c>
      <c r="D117" s="87">
        <f>IF(A117="","",IFERROR(VLOOKUP(A117,EQUIPEMENTS!A:M,13,0),""))</f>
        <v/>
      </c>
      <c r="E117" s="87">
        <f>IF(A117="","",COUNTIFS(MAINT_PREV!B:B,A117,MAINT_PREV!G:G,"Planifiée",MAINT_PREV!E:E,"&lt;"&amp;TODAY(),MAINT_PREV!H:H,""))</f>
        <v/>
      </c>
      <c r="F117" s="87">
        <f>IF(A117="","",COUNTIFS(INTERVENTIONS!B:B,A117,INTERVENTIONS!L:L,"Ouverte"))</f>
        <v/>
      </c>
      <c r="G117" s="87">
        <f>IF(A117="","",COUNTIFS(COMPOSANTS!B:B,A117,COMPOSANTS!G:G,"Défectueux"))</f>
        <v/>
      </c>
      <c r="H117" s="87">
        <f>IF(A117="","",IFERROR(VLOOKUP(A117,EQUIPEMENTS!A:R,18,0),""))</f>
        <v/>
      </c>
      <c r="I117" s="87">
        <f>IF(A117="","",IF(AND(C117="Haute",D117="En panne"),"🔴 CRITIQUE",IF(OR(E117&gt;0,F117&gt;0,G117&gt;0),"🟠 ATTENTION","🟢 OK")))</f>
        <v/>
      </c>
      <c r="J117" s="87">
        <f>IF(A117="","",IFERROR(VLOOKUP(A117,EQUIPEMENTS!A:Q,17,0),""))</f>
        <v/>
      </c>
      <c r="K117" s="87" t="n"/>
    </row>
    <row r="118" ht="15" customHeight="1" s="59">
      <c r="A118" s="84">
        <f>IFERROR(EQUIPEMENTS!A118,"")</f>
        <v/>
      </c>
      <c r="B118" s="84">
        <f>IF(A118="","",IFERROR(VLOOKUP(A118,EQUIPEMENTS!A:B,2,0),""))</f>
        <v/>
      </c>
      <c r="C118" s="84">
        <f>IF(A118="","",IFERROR(VLOOKUP(A118,EQUIPEMENTS!A:D,4,0),""))</f>
        <v/>
      </c>
      <c r="D118" s="84">
        <f>IF(A118="","",IFERROR(VLOOKUP(A118,EQUIPEMENTS!A:M,13,0),""))</f>
        <v/>
      </c>
      <c r="E118" s="84">
        <f>IF(A118="","",COUNTIFS(MAINT_PREV!B:B,A118,MAINT_PREV!G:G,"Planifiée",MAINT_PREV!E:E,"&lt;"&amp;TODAY(),MAINT_PREV!H:H,""))</f>
        <v/>
      </c>
      <c r="F118" s="84">
        <f>IF(A118="","",COUNTIFS(INTERVENTIONS!B:B,A118,INTERVENTIONS!L:L,"Ouverte"))</f>
        <v/>
      </c>
      <c r="G118" s="84">
        <f>IF(A118="","",COUNTIFS(COMPOSANTS!B:B,A118,COMPOSANTS!G:G,"Défectueux"))</f>
        <v/>
      </c>
      <c r="H118" s="84">
        <f>IF(A118="","",IFERROR(VLOOKUP(A118,EQUIPEMENTS!A:R,18,0),""))</f>
        <v/>
      </c>
      <c r="I118" s="84">
        <f>IF(A118="","",IF(AND(C118="Haute",D118="En panne"),"🔴 CRITIQUE",IF(OR(E118&gt;0,F118&gt;0,G118&gt;0),"🟠 ATTENTION","🟢 OK")))</f>
        <v/>
      </c>
      <c r="J118" s="84">
        <f>IF(A118="","",IFERROR(VLOOKUP(A118,EQUIPEMENTS!A:Q,17,0),""))</f>
        <v/>
      </c>
      <c r="K118" s="84" t="n"/>
    </row>
    <row r="119" ht="15" customHeight="1" s="59">
      <c r="A119" s="87">
        <f>IFERROR(EQUIPEMENTS!A119,"")</f>
        <v/>
      </c>
      <c r="B119" s="87">
        <f>IF(A119="","",IFERROR(VLOOKUP(A119,EQUIPEMENTS!A:B,2,0),""))</f>
        <v/>
      </c>
      <c r="C119" s="87">
        <f>IF(A119="","",IFERROR(VLOOKUP(A119,EQUIPEMENTS!A:D,4,0),""))</f>
        <v/>
      </c>
      <c r="D119" s="87">
        <f>IF(A119="","",IFERROR(VLOOKUP(A119,EQUIPEMENTS!A:M,13,0),""))</f>
        <v/>
      </c>
      <c r="E119" s="87">
        <f>IF(A119="","",COUNTIFS(MAINT_PREV!B:B,A119,MAINT_PREV!G:G,"Planifiée",MAINT_PREV!E:E,"&lt;"&amp;TODAY(),MAINT_PREV!H:H,""))</f>
        <v/>
      </c>
      <c r="F119" s="87">
        <f>IF(A119="","",COUNTIFS(INTERVENTIONS!B:B,A119,INTERVENTIONS!L:L,"Ouverte"))</f>
        <v/>
      </c>
      <c r="G119" s="87">
        <f>IF(A119="","",COUNTIFS(COMPOSANTS!B:B,A119,COMPOSANTS!G:G,"Défectueux"))</f>
        <v/>
      </c>
      <c r="H119" s="87">
        <f>IF(A119="","",IFERROR(VLOOKUP(A119,EQUIPEMENTS!A:R,18,0),""))</f>
        <v/>
      </c>
      <c r="I119" s="87">
        <f>IF(A119="","",IF(AND(C119="Haute",D119="En panne"),"🔴 CRITIQUE",IF(OR(E119&gt;0,F119&gt;0,G119&gt;0),"🟠 ATTENTION","🟢 OK")))</f>
        <v/>
      </c>
      <c r="J119" s="87">
        <f>IF(A119="","",IFERROR(VLOOKUP(A119,EQUIPEMENTS!A:Q,17,0),""))</f>
        <v/>
      </c>
      <c r="K119" s="87" t="n"/>
    </row>
    <row r="120" ht="15" customHeight="1" s="59">
      <c r="A120" s="84">
        <f>IFERROR(EQUIPEMENTS!A120,"")</f>
        <v/>
      </c>
      <c r="B120" s="84">
        <f>IF(A120="","",IFERROR(VLOOKUP(A120,EQUIPEMENTS!A:B,2,0),""))</f>
        <v/>
      </c>
      <c r="C120" s="84">
        <f>IF(A120="","",IFERROR(VLOOKUP(A120,EQUIPEMENTS!A:D,4,0),""))</f>
        <v/>
      </c>
      <c r="D120" s="84">
        <f>IF(A120="","",IFERROR(VLOOKUP(A120,EQUIPEMENTS!A:M,13,0),""))</f>
        <v/>
      </c>
      <c r="E120" s="84">
        <f>IF(A120="","",COUNTIFS(MAINT_PREV!B:B,A120,MAINT_PREV!G:G,"Planifiée",MAINT_PREV!E:E,"&lt;"&amp;TODAY(),MAINT_PREV!H:H,""))</f>
        <v/>
      </c>
      <c r="F120" s="84">
        <f>IF(A120="","",COUNTIFS(INTERVENTIONS!B:B,A120,INTERVENTIONS!L:L,"Ouverte"))</f>
        <v/>
      </c>
      <c r="G120" s="84">
        <f>IF(A120="","",COUNTIFS(COMPOSANTS!B:B,A120,COMPOSANTS!G:G,"Défectueux"))</f>
        <v/>
      </c>
      <c r="H120" s="84">
        <f>IF(A120="","",IFERROR(VLOOKUP(A120,EQUIPEMENTS!A:R,18,0),""))</f>
        <v/>
      </c>
      <c r="I120" s="84">
        <f>IF(A120="","",IF(AND(C120="Haute",D120="En panne"),"🔴 CRITIQUE",IF(OR(E120&gt;0,F120&gt;0,G120&gt;0),"🟠 ATTENTION","🟢 OK")))</f>
        <v/>
      </c>
      <c r="J120" s="84">
        <f>IF(A120="","",IFERROR(VLOOKUP(A120,EQUIPEMENTS!A:Q,17,0),""))</f>
        <v/>
      </c>
      <c r="K120" s="84" t="n"/>
    </row>
    <row r="121" ht="15" customHeight="1" s="59">
      <c r="A121" s="87">
        <f>IFERROR(EQUIPEMENTS!A121,"")</f>
        <v/>
      </c>
      <c r="B121" s="87">
        <f>IF(A121="","",IFERROR(VLOOKUP(A121,EQUIPEMENTS!A:B,2,0),""))</f>
        <v/>
      </c>
      <c r="C121" s="87">
        <f>IF(A121="","",IFERROR(VLOOKUP(A121,EQUIPEMENTS!A:D,4,0),""))</f>
        <v/>
      </c>
      <c r="D121" s="87">
        <f>IF(A121="","",IFERROR(VLOOKUP(A121,EQUIPEMENTS!A:M,13,0),""))</f>
        <v/>
      </c>
      <c r="E121" s="87">
        <f>IF(A121="","",COUNTIFS(MAINT_PREV!B:B,A121,MAINT_PREV!G:G,"Planifiée",MAINT_PREV!E:E,"&lt;"&amp;TODAY(),MAINT_PREV!H:H,""))</f>
        <v/>
      </c>
      <c r="F121" s="87">
        <f>IF(A121="","",COUNTIFS(INTERVENTIONS!B:B,A121,INTERVENTIONS!L:L,"Ouverte"))</f>
        <v/>
      </c>
      <c r="G121" s="87">
        <f>IF(A121="","",COUNTIFS(COMPOSANTS!B:B,A121,COMPOSANTS!G:G,"Défectueux"))</f>
        <v/>
      </c>
      <c r="H121" s="87">
        <f>IF(A121="","",IFERROR(VLOOKUP(A121,EQUIPEMENTS!A:R,18,0),""))</f>
        <v/>
      </c>
      <c r="I121" s="87">
        <f>IF(A121="","",IF(AND(C121="Haute",D121="En panne"),"🔴 CRITIQUE",IF(OR(E121&gt;0,F121&gt;0,G121&gt;0),"🟠 ATTENTION","🟢 OK")))</f>
        <v/>
      </c>
      <c r="J121" s="87">
        <f>IF(A121="","",IFERROR(VLOOKUP(A121,EQUIPEMENTS!A:Q,17,0),""))</f>
        <v/>
      </c>
      <c r="K121" s="87" t="n"/>
    </row>
    <row r="122" ht="15" customHeight="1" s="59">
      <c r="A122" s="84">
        <f>IFERROR(EQUIPEMENTS!A122,"")</f>
        <v/>
      </c>
      <c r="B122" s="84">
        <f>IF(A122="","",IFERROR(VLOOKUP(A122,EQUIPEMENTS!A:B,2,0),""))</f>
        <v/>
      </c>
      <c r="C122" s="84">
        <f>IF(A122="","",IFERROR(VLOOKUP(A122,EQUIPEMENTS!A:D,4,0),""))</f>
        <v/>
      </c>
      <c r="D122" s="84">
        <f>IF(A122="","",IFERROR(VLOOKUP(A122,EQUIPEMENTS!A:M,13,0),""))</f>
        <v/>
      </c>
      <c r="E122" s="84">
        <f>IF(A122="","",COUNTIFS(MAINT_PREV!B:B,A122,MAINT_PREV!G:G,"Planifiée",MAINT_PREV!E:E,"&lt;"&amp;TODAY(),MAINT_PREV!H:H,""))</f>
        <v/>
      </c>
      <c r="F122" s="84">
        <f>IF(A122="","",COUNTIFS(INTERVENTIONS!B:B,A122,INTERVENTIONS!L:L,"Ouverte"))</f>
        <v/>
      </c>
      <c r="G122" s="84">
        <f>IF(A122="","",COUNTIFS(COMPOSANTS!B:B,A122,COMPOSANTS!G:G,"Défectueux"))</f>
        <v/>
      </c>
      <c r="H122" s="84">
        <f>IF(A122="","",IFERROR(VLOOKUP(A122,EQUIPEMENTS!A:R,18,0),""))</f>
        <v/>
      </c>
      <c r="I122" s="84">
        <f>IF(A122="","",IF(AND(C122="Haute",D122="En panne"),"🔴 CRITIQUE",IF(OR(E122&gt;0,F122&gt;0,G122&gt;0),"🟠 ATTENTION","🟢 OK")))</f>
        <v/>
      </c>
      <c r="J122" s="84">
        <f>IF(A122="","",IFERROR(VLOOKUP(A122,EQUIPEMENTS!A:Q,17,0),""))</f>
        <v/>
      </c>
      <c r="K122" s="84" t="n"/>
    </row>
    <row r="123" ht="15" customHeight="1" s="59">
      <c r="A123" s="87">
        <f>IFERROR(EQUIPEMENTS!A123,"")</f>
        <v/>
      </c>
      <c r="B123" s="87">
        <f>IF(A123="","",IFERROR(VLOOKUP(A123,EQUIPEMENTS!A:B,2,0),""))</f>
        <v/>
      </c>
      <c r="C123" s="87">
        <f>IF(A123="","",IFERROR(VLOOKUP(A123,EQUIPEMENTS!A:D,4,0),""))</f>
        <v/>
      </c>
      <c r="D123" s="87">
        <f>IF(A123="","",IFERROR(VLOOKUP(A123,EQUIPEMENTS!A:M,13,0),""))</f>
        <v/>
      </c>
      <c r="E123" s="87">
        <f>IF(A123="","",COUNTIFS(MAINT_PREV!B:B,A123,MAINT_PREV!G:G,"Planifiée",MAINT_PREV!E:E,"&lt;"&amp;TODAY(),MAINT_PREV!H:H,""))</f>
        <v/>
      </c>
      <c r="F123" s="87">
        <f>IF(A123="","",COUNTIFS(INTERVENTIONS!B:B,A123,INTERVENTIONS!L:L,"Ouverte"))</f>
        <v/>
      </c>
      <c r="G123" s="87">
        <f>IF(A123="","",COUNTIFS(COMPOSANTS!B:B,A123,COMPOSANTS!G:G,"Défectueux"))</f>
        <v/>
      </c>
      <c r="H123" s="87">
        <f>IF(A123="","",IFERROR(VLOOKUP(A123,EQUIPEMENTS!A:R,18,0),""))</f>
        <v/>
      </c>
      <c r="I123" s="87">
        <f>IF(A123="","",IF(AND(C123="Haute",D123="En panne"),"🔴 CRITIQUE",IF(OR(E123&gt;0,F123&gt;0,G123&gt;0),"🟠 ATTENTION","🟢 OK")))</f>
        <v/>
      </c>
      <c r="J123" s="87">
        <f>IF(A123="","",IFERROR(VLOOKUP(A123,EQUIPEMENTS!A:Q,17,0),""))</f>
        <v/>
      </c>
      <c r="K123" s="87" t="n"/>
    </row>
    <row r="124" ht="15" customHeight="1" s="59">
      <c r="A124" s="84">
        <f>IFERROR(EQUIPEMENTS!A124,"")</f>
        <v/>
      </c>
      <c r="B124" s="84">
        <f>IF(A124="","",IFERROR(VLOOKUP(A124,EQUIPEMENTS!A:B,2,0),""))</f>
        <v/>
      </c>
      <c r="C124" s="84">
        <f>IF(A124="","",IFERROR(VLOOKUP(A124,EQUIPEMENTS!A:D,4,0),""))</f>
        <v/>
      </c>
      <c r="D124" s="84">
        <f>IF(A124="","",IFERROR(VLOOKUP(A124,EQUIPEMENTS!A:M,13,0),""))</f>
        <v/>
      </c>
      <c r="E124" s="84">
        <f>IF(A124="","",COUNTIFS(MAINT_PREV!B:B,A124,MAINT_PREV!G:G,"Planifiée",MAINT_PREV!E:E,"&lt;"&amp;TODAY(),MAINT_PREV!H:H,""))</f>
        <v/>
      </c>
      <c r="F124" s="84">
        <f>IF(A124="","",COUNTIFS(INTERVENTIONS!B:B,A124,INTERVENTIONS!L:L,"Ouverte"))</f>
        <v/>
      </c>
      <c r="G124" s="84">
        <f>IF(A124="","",COUNTIFS(COMPOSANTS!B:B,A124,COMPOSANTS!G:G,"Défectueux"))</f>
        <v/>
      </c>
      <c r="H124" s="84">
        <f>IF(A124="","",IFERROR(VLOOKUP(A124,EQUIPEMENTS!A:R,18,0),""))</f>
        <v/>
      </c>
      <c r="I124" s="84">
        <f>IF(A124="","",IF(AND(C124="Haute",D124="En panne"),"🔴 CRITIQUE",IF(OR(E124&gt;0,F124&gt;0,G124&gt;0),"🟠 ATTENTION","🟢 OK")))</f>
        <v/>
      </c>
      <c r="J124" s="84">
        <f>IF(A124="","",IFERROR(VLOOKUP(A124,EQUIPEMENTS!A:Q,17,0),""))</f>
        <v/>
      </c>
      <c r="K124" s="84" t="n"/>
    </row>
    <row r="125" ht="15" customHeight="1" s="59">
      <c r="A125" s="87">
        <f>IFERROR(EQUIPEMENTS!A125,"")</f>
        <v/>
      </c>
      <c r="B125" s="87">
        <f>IF(A125="","",IFERROR(VLOOKUP(A125,EQUIPEMENTS!A:B,2,0),""))</f>
        <v/>
      </c>
      <c r="C125" s="87">
        <f>IF(A125="","",IFERROR(VLOOKUP(A125,EQUIPEMENTS!A:D,4,0),""))</f>
        <v/>
      </c>
      <c r="D125" s="87">
        <f>IF(A125="","",IFERROR(VLOOKUP(A125,EQUIPEMENTS!A:M,13,0),""))</f>
        <v/>
      </c>
      <c r="E125" s="87">
        <f>IF(A125="","",COUNTIFS(MAINT_PREV!B:B,A125,MAINT_PREV!G:G,"Planifiée",MAINT_PREV!E:E,"&lt;"&amp;TODAY(),MAINT_PREV!H:H,""))</f>
        <v/>
      </c>
      <c r="F125" s="87">
        <f>IF(A125="","",COUNTIFS(INTERVENTIONS!B:B,A125,INTERVENTIONS!L:L,"Ouverte"))</f>
        <v/>
      </c>
      <c r="G125" s="87">
        <f>IF(A125="","",COUNTIFS(COMPOSANTS!B:B,A125,COMPOSANTS!G:G,"Défectueux"))</f>
        <v/>
      </c>
      <c r="H125" s="87">
        <f>IF(A125="","",IFERROR(VLOOKUP(A125,EQUIPEMENTS!A:R,18,0),""))</f>
        <v/>
      </c>
      <c r="I125" s="87">
        <f>IF(A125="","",IF(AND(C125="Haute",D125="En panne"),"🔴 CRITIQUE",IF(OR(E125&gt;0,F125&gt;0,G125&gt;0),"🟠 ATTENTION","🟢 OK")))</f>
        <v/>
      </c>
      <c r="J125" s="87">
        <f>IF(A125="","",IFERROR(VLOOKUP(A125,EQUIPEMENTS!A:Q,17,0),""))</f>
        <v/>
      </c>
      <c r="K125" s="87" t="n"/>
    </row>
    <row r="126" ht="15" customHeight="1" s="59">
      <c r="A126" s="84">
        <f>IFERROR(EQUIPEMENTS!A126,"")</f>
        <v/>
      </c>
      <c r="B126" s="84">
        <f>IF(A126="","",IFERROR(VLOOKUP(A126,EQUIPEMENTS!A:B,2,0),""))</f>
        <v/>
      </c>
      <c r="C126" s="84">
        <f>IF(A126="","",IFERROR(VLOOKUP(A126,EQUIPEMENTS!A:D,4,0),""))</f>
        <v/>
      </c>
      <c r="D126" s="84">
        <f>IF(A126="","",IFERROR(VLOOKUP(A126,EQUIPEMENTS!A:M,13,0),""))</f>
        <v/>
      </c>
      <c r="E126" s="84">
        <f>IF(A126="","",COUNTIFS(MAINT_PREV!B:B,A126,MAINT_PREV!G:G,"Planifiée",MAINT_PREV!E:E,"&lt;"&amp;TODAY(),MAINT_PREV!H:H,""))</f>
        <v/>
      </c>
      <c r="F126" s="84">
        <f>IF(A126="","",COUNTIFS(INTERVENTIONS!B:B,A126,INTERVENTIONS!L:L,"Ouverte"))</f>
        <v/>
      </c>
      <c r="G126" s="84">
        <f>IF(A126="","",COUNTIFS(COMPOSANTS!B:B,A126,COMPOSANTS!G:G,"Défectueux"))</f>
        <v/>
      </c>
      <c r="H126" s="84">
        <f>IF(A126="","",IFERROR(VLOOKUP(A126,EQUIPEMENTS!A:R,18,0),""))</f>
        <v/>
      </c>
      <c r="I126" s="84">
        <f>IF(A126="","",IF(AND(C126="Haute",D126="En panne"),"🔴 CRITIQUE",IF(OR(E126&gt;0,F126&gt;0,G126&gt;0),"🟠 ATTENTION","🟢 OK")))</f>
        <v/>
      </c>
      <c r="J126" s="84">
        <f>IF(A126="","",IFERROR(VLOOKUP(A126,EQUIPEMENTS!A:Q,17,0),""))</f>
        <v/>
      </c>
      <c r="K126" s="84" t="n"/>
    </row>
    <row r="127" ht="15" customHeight="1" s="59">
      <c r="A127" s="87">
        <f>IFERROR(EQUIPEMENTS!A127,"")</f>
        <v/>
      </c>
      <c r="B127" s="87">
        <f>IF(A127="","",IFERROR(VLOOKUP(A127,EQUIPEMENTS!A:B,2,0),""))</f>
        <v/>
      </c>
      <c r="C127" s="87">
        <f>IF(A127="","",IFERROR(VLOOKUP(A127,EQUIPEMENTS!A:D,4,0),""))</f>
        <v/>
      </c>
      <c r="D127" s="87">
        <f>IF(A127="","",IFERROR(VLOOKUP(A127,EQUIPEMENTS!A:M,13,0),""))</f>
        <v/>
      </c>
      <c r="E127" s="87">
        <f>IF(A127="","",COUNTIFS(MAINT_PREV!B:B,A127,MAINT_PREV!G:G,"Planifiée",MAINT_PREV!E:E,"&lt;"&amp;TODAY(),MAINT_PREV!H:H,""))</f>
        <v/>
      </c>
      <c r="F127" s="87">
        <f>IF(A127="","",COUNTIFS(INTERVENTIONS!B:B,A127,INTERVENTIONS!L:L,"Ouverte"))</f>
        <v/>
      </c>
      <c r="G127" s="87">
        <f>IF(A127="","",COUNTIFS(COMPOSANTS!B:B,A127,COMPOSANTS!G:G,"Défectueux"))</f>
        <v/>
      </c>
      <c r="H127" s="87">
        <f>IF(A127="","",IFERROR(VLOOKUP(A127,EQUIPEMENTS!A:R,18,0),""))</f>
        <v/>
      </c>
      <c r="I127" s="87">
        <f>IF(A127="","",IF(AND(C127="Haute",D127="En panne"),"🔴 CRITIQUE",IF(OR(E127&gt;0,F127&gt;0,G127&gt;0),"🟠 ATTENTION","🟢 OK")))</f>
        <v/>
      </c>
      <c r="J127" s="87">
        <f>IF(A127="","",IFERROR(VLOOKUP(A127,EQUIPEMENTS!A:Q,17,0),""))</f>
        <v/>
      </c>
      <c r="K127" s="87" t="n"/>
    </row>
    <row r="128" ht="15" customHeight="1" s="59">
      <c r="A128" s="84">
        <f>IFERROR(EQUIPEMENTS!A128,"")</f>
        <v/>
      </c>
      <c r="B128" s="84">
        <f>IF(A128="","",IFERROR(VLOOKUP(A128,EQUIPEMENTS!A:B,2,0),""))</f>
        <v/>
      </c>
      <c r="C128" s="84">
        <f>IF(A128="","",IFERROR(VLOOKUP(A128,EQUIPEMENTS!A:D,4,0),""))</f>
        <v/>
      </c>
      <c r="D128" s="84">
        <f>IF(A128="","",IFERROR(VLOOKUP(A128,EQUIPEMENTS!A:M,13,0),""))</f>
        <v/>
      </c>
      <c r="E128" s="84">
        <f>IF(A128="","",COUNTIFS(MAINT_PREV!B:B,A128,MAINT_PREV!G:G,"Planifiée",MAINT_PREV!E:E,"&lt;"&amp;TODAY(),MAINT_PREV!H:H,""))</f>
        <v/>
      </c>
      <c r="F128" s="84">
        <f>IF(A128="","",COUNTIFS(INTERVENTIONS!B:B,A128,INTERVENTIONS!L:L,"Ouverte"))</f>
        <v/>
      </c>
      <c r="G128" s="84">
        <f>IF(A128="","",COUNTIFS(COMPOSANTS!B:B,A128,COMPOSANTS!G:G,"Défectueux"))</f>
        <v/>
      </c>
      <c r="H128" s="84">
        <f>IF(A128="","",IFERROR(VLOOKUP(A128,EQUIPEMENTS!A:R,18,0),""))</f>
        <v/>
      </c>
      <c r="I128" s="84">
        <f>IF(A128="","",IF(AND(C128="Haute",D128="En panne"),"🔴 CRITIQUE",IF(OR(E128&gt;0,F128&gt;0,G128&gt;0),"🟠 ATTENTION","🟢 OK")))</f>
        <v/>
      </c>
      <c r="J128" s="84">
        <f>IF(A128="","",IFERROR(VLOOKUP(A128,EQUIPEMENTS!A:Q,17,0),""))</f>
        <v/>
      </c>
      <c r="K128" s="84" t="n"/>
    </row>
    <row r="129" ht="15" customHeight="1" s="59">
      <c r="A129" s="87">
        <f>IFERROR(EQUIPEMENTS!A129,"")</f>
        <v/>
      </c>
      <c r="B129" s="87">
        <f>IF(A129="","",IFERROR(VLOOKUP(A129,EQUIPEMENTS!A:B,2,0),""))</f>
        <v/>
      </c>
      <c r="C129" s="87">
        <f>IF(A129="","",IFERROR(VLOOKUP(A129,EQUIPEMENTS!A:D,4,0),""))</f>
        <v/>
      </c>
      <c r="D129" s="87">
        <f>IF(A129="","",IFERROR(VLOOKUP(A129,EQUIPEMENTS!A:M,13,0),""))</f>
        <v/>
      </c>
      <c r="E129" s="87">
        <f>IF(A129="","",COUNTIFS(MAINT_PREV!B:B,A129,MAINT_PREV!G:G,"Planifiée",MAINT_PREV!E:E,"&lt;"&amp;TODAY(),MAINT_PREV!H:H,""))</f>
        <v/>
      </c>
      <c r="F129" s="87">
        <f>IF(A129="","",COUNTIFS(INTERVENTIONS!B:B,A129,INTERVENTIONS!L:L,"Ouverte"))</f>
        <v/>
      </c>
      <c r="G129" s="87">
        <f>IF(A129="","",COUNTIFS(COMPOSANTS!B:B,A129,COMPOSANTS!G:G,"Défectueux"))</f>
        <v/>
      </c>
      <c r="H129" s="87">
        <f>IF(A129="","",IFERROR(VLOOKUP(A129,EQUIPEMENTS!A:R,18,0),""))</f>
        <v/>
      </c>
      <c r="I129" s="87">
        <f>IF(A129="","",IF(AND(C129="Haute",D129="En panne"),"🔴 CRITIQUE",IF(OR(E129&gt;0,F129&gt;0,G129&gt;0),"🟠 ATTENTION","🟢 OK")))</f>
        <v/>
      </c>
      <c r="J129" s="87">
        <f>IF(A129="","",IFERROR(VLOOKUP(A129,EQUIPEMENTS!A:Q,17,0),""))</f>
        <v/>
      </c>
      <c r="K129" s="87" t="n"/>
    </row>
    <row r="130" ht="15" customHeight="1" s="59">
      <c r="A130" s="84">
        <f>IFERROR(EQUIPEMENTS!A130,"")</f>
        <v/>
      </c>
      <c r="B130" s="84">
        <f>IF(A130="","",IFERROR(VLOOKUP(A130,EQUIPEMENTS!A:B,2,0),""))</f>
        <v/>
      </c>
      <c r="C130" s="84">
        <f>IF(A130="","",IFERROR(VLOOKUP(A130,EQUIPEMENTS!A:D,4,0),""))</f>
        <v/>
      </c>
      <c r="D130" s="84">
        <f>IF(A130="","",IFERROR(VLOOKUP(A130,EQUIPEMENTS!A:M,13,0),""))</f>
        <v/>
      </c>
      <c r="E130" s="84">
        <f>IF(A130="","",COUNTIFS(MAINT_PREV!B:B,A130,MAINT_PREV!G:G,"Planifiée",MAINT_PREV!E:E,"&lt;"&amp;TODAY(),MAINT_PREV!H:H,""))</f>
        <v/>
      </c>
      <c r="F130" s="84">
        <f>IF(A130="","",COUNTIFS(INTERVENTIONS!B:B,A130,INTERVENTIONS!L:L,"Ouverte"))</f>
        <v/>
      </c>
      <c r="G130" s="84">
        <f>IF(A130="","",COUNTIFS(COMPOSANTS!B:B,A130,COMPOSANTS!G:G,"Défectueux"))</f>
        <v/>
      </c>
      <c r="H130" s="84">
        <f>IF(A130="","",IFERROR(VLOOKUP(A130,EQUIPEMENTS!A:R,18,0),""))</f>
        <v/>
      </c>
      <c r="I130" s="84">
        <f>IF(A130="","",IF(AND(C130="Haute",D130="En panne"),"🔴 CRITIQUE",IF(OR(E130&gt;0,F130&gt;0,G130&gt;0),"🟠 ATTENTION","🟢 OK")))</f>
        <v/>
      </c>
      <c r="J130" s="84">
        <f>IF(A130="","",IFERROR(VLOOKUP(A130,EQUIPEMENTS!A:Q,17,0),""))</f>
        <v/>
      </c>
      <c r="K130" s="84" t="n"/>
    </row>
    <row r="131" ht="15" customHeight="1" s="59">
      <c r="A131" s="87">
        <f>IFERROR(EQUIPEMENTS!A131,"")</f>
        <v/>
      </c>
      <c r="B131" s="87">
        <f>IF(A131="","",IFERROR(VLOOKUP(A131,EQUIPEMENTS!A:B,2,0),""))</f>
        <v/>
      </c>
      <c r="C131" s="87">
        <f>IF(A131="","",IFERROR(VLOOKUP(A131,EQUIPEMENTS!A:D,4,0),""))</f>
        <v/>
      </c>
      <c r="D131" s="87">
        <f>IF(A131="","",IFERROR(VLOOKUP(A131,EQUIPEMENTS!A:M,13,0),""))</f>
        <v/>
      </c>
      <c r="E131" s="87">
        <f>IF(A131="","",COUNTIFS(MAINT_PREV!B:B,A131,MAINT_PREV!G:G,"Planifiée",MAINT_PREV!E:E,"&lt;"&amp;TODAY(),MAINT_PREV!H:H,""))</f>
        <v/>
      </c>
      <c r="F131" s="87">
        <f>IF(A131="","",COUNTIFS(INTERVENTIONS!B:B,A131,INTERVENTIONS!L:L,"Ouverte"))</f>
        <v/>
      </c>
      <c r="G131" s="87">
        <f>IF(A131="","",COUNTIFS(COMPOSANTS!B:B,A131,COMPOSANTS!G:G,"Défectueux"))</f>
        <v/>
      </c>
      <c r="H131" s="87">
        <f>IF(A131="","",IFERROR(VLOOKUP(A131,EQUIPEMENTS!A:R,18,0),""))</f>
        <v/>
      </c>
      <c r="I131" s="87">
        <f>IF(A131="","",IF(AND(C131="Haute",D131="En panne"),"🔴 CRITIQUE",IF(OR(E131&gt;0,F131&gt;0,G131&gt;0),"🟠 ATTENTION","🟢 OK")))</f>
        <v/>
      </c>
      <c r="J131" s="87">
        <f>IF(A131="","",IFERROR(VLOOKUP(A131,EQUIPEMENTS!A:Q,17,0),""))</f>
        <v/>
      </c>
      <c r="K131" s="87" t="n"/>
    </row>
    <row r="132" ht="15" customHeight="1" s="59">
      <c r="A132" s="84">
        <f>IFERROR(EQUIPEMENTS!A132,"")</f>
        <v/>
      </c>
      <c r="B132" s="84">
        <f>IF(A132="","",IFERROR(VLOOKUP(A132,EQUIPEMENTS!A:B,2,0),""))</f>
        <v/>
      </c>
      <c r="C132" s="84">
        <f>IF(A132="","",IFERROR(VLOOKUP(A132,EQUIPEMENTS!A:D,4,0),""))</f>
        <v/>
      </c>
      <c r="D132" s="84">
        <f>IF(A132="","",IFERROR(VLOOKUP(A132,EQUIPEMENTS!A:M,13,0),""))</f>
        <v/>
      </c>
      <c r="E132" s="84">
        <f>IF(A132="","",COUNTIFS(MAINT_PREV!B:B,A132,MAINT_PREV!G:G,"Planifiée",MAINT_PREV!E:E,"&lt;"&amp;TODAY(),MAINT_PREV!H:H,""))</f>
        <v/>
      </c>
      <c r="F132" s="84">
        <f>IF(A132="","",COUNTIFS(INTERVENTIONS!B:B,A132,INTERVENTIONS!L:L,"Ouverte"))</f>
        <v/>
      </c>
      <c r="G132" s="84">
        <f>IF(A132="","",COUNTIFS(COMPOSANTS!B:B,A132,COMPOSANTS!G:G,"Défectueux"))</f>
        <v/>
      </c>
      <c r="H132" s="84">
        <f>IF(A132="","",IFERROR(VLOOKUP(A132,EQUIPEMENTS!A:R,18,0),""))</f>
        <v/>
      </c>
      <c r="I132" s="84">
        <f>IF(A132="","",IF(AND(C132="Haute",D132="En panne"),"🔴 CRITIQUE",IF(OR(E132&gt;0,F132&gt;0,G132&gt;0),"🟠 ATTENTION","🟢 OK")))</f>
        <v/>
      </c>
      <c r="J132" s="84">
        <f>IF(A132="","",IFERROR(VLOOKUP(A132,EQUIPEMENTS!A:Q,17,0),""))</f>
        <v/>
      </c>
      <c r="K132" s="84" t="n"/>
    </row>
    <row r="133" ht="15" customHeight="1" s="59">
      <c r="A133" s="87">
        <f>IFERROR(EQUIPEMENTS!A133,"")</f>
        <v/>
      </c>
      <c r="B133" s="87">
        <f>IF(A133="","",IFERROR(VLOOKUP(A133,EQUIPEMENTS!A:B,2,0),""))</f>
        <v/>
      </c>
      <c r="C133" s="87">
        <f>IF(A133="","",IFERROR(VLOOKUP(A133,EQUIPEMENTS!A:D,4,0),""))</f>
        <v/>
      </c>
      <c r="D133" s="87">
        <f>IF(A133="","",IFERROR(VLOOKUP(A133,EQUIPEMENTS!A:M,13,0),""))</f>
        <v/>
      </c>
      <c r="E133" s="87">
        <f>IF(A133="","",COUNTIFS(MAINT_PREV!B:B,A133,MAINT_PREV!G:G,"Planifiée",MAINT_PREV!E:E,"&lt;"&amp;TODAY(),MAINT_PREV!H:H,""))</f>
        <v/>
      </c>
      <c r="F133" s="87">
        <f>IF(A133="","",COUNTIFS(INTERVENTIONS!B:B,A133,INTERVENTIONS!L:L,"Ouverte"))</f>
        <v/>
      </c>
      <c r="G133" s="87">
        <f>IF(A133="","",COUNTIFS(COMPOSANTS!B:B,A133,COMPOSANTS!G:G,"Défectueux"))</f>
        <v/>
      </c>
      <c r="H133" s="87">
        <f>IF(A133="","",IFERROR(VLOOKUP(A133,EQUIPEMENTS!A:R,18,0),""))</f>
        <v/>
      </c>
      <c r="I133" s="87">
        <f>IF(A133="","",IF(AND(C133="Haute",D133="En panne"),"🔴 CRITIQUE",IF(OR(E133&gt;0,F133&gt;0,G133&gt;0),"🟠 ATTENTION","🟢 OK")))</f>
        <v/>
      </c>
      <c r="J133" s="87">
        <f>IF(A133="","",IFERROR(VLOOKUP(A133,EQUIPEMENTS!A:Q,17,0),""))</f>
        <v/>
      </c>
      <c r="K133" s="87" t="n"/>
    </row>
    <row r="134" ht="15" customHeight="1" s="59">
      <c r="A134" s="84">
        <f>IFERROR(EQUIPEMENTS!A134,"")</f>
        <v/>
      </c>
      <c r="B134" s="84">
        <f>IF(A134="","",IFERROR(VLOOKUP(A134,EQUIPEMENTS!A:B,2,0),""))</f>
        <v/>
      </c>
      <c r="C134" s="84">
        <f>IF(A134="","",IFERROR(VLOOKUP(A134,EQUIPEMENTS!A:D,4,0),""))</f>
        <v/>
      </c>
      <c r="D134" s="84">
        <f>IF(A134="","",IFERROR(VLOOKUP(A134,EQUIPEMENTS!A:M,13,0),""))</f>
        <v/>
      </c>
      <c r="E134" s="84">
        <f>IF(A134="","",COUNTIFS(MAINT_PREV!B:B,A134,MAINT_PREV!G:G,"Planifiée",MAINT_PREV!E:E,"&lt;"&amp;TODAY(),MAINT_PREV!H:H,""))</f>
        <v/>
      </c>
      <c r="F134" s="84">
        <f>IF(A134="","",COUNTIFS(INTERVENTIONS!B:B,A134,INTERVENTIONS!L:L,"Ouverte"))</f>
        <v/>
      </c>
      <c r="G134" s="84">
        <f>IF(A134="","",COUNTIFS(COMPOSANTS!B:B,A134,COMPOSANTS!G:G,"Défectueux"))</f>
        <v/>
      </c>
      <c r="H134" s="84">
        <f>IF(A134="","",IFERROR(VLOOKUP(A134,EQUIPEMENTS!A:R,18,0),""))</f>
        <v/>
      </c>
      <c r="I134" s="84">
        <f>IF(A134="","",IF(AND(C134="Haute",D134="En panne"),"🔴 CRITIQUE",IF(OR(E134&gt;0,F134&gt;0,G134&gt;0),"🟠 ATTENTION","🟢 OK")))</f>
        <v/>
      </c>
      <c r="J134" s="84">
        <f>IF(A134="","",IFERROR(VLOOKUP(A134,EQUIPEMENTS!A:Q,17,0),""))</f>
        <v/>
      </c>
      <c r="K134" s="84" t="n"/>
    </row>
    <row r="135" ht="15" customHeight="1" s="59">
      <c r="A135" s="87">
        <f>IFERROR(EQUIPEMENTS!A135,"")</f>
        <v/>
      </c>
      <c r="B135" s="87">
        <f>IF(A135="","",IFERROR(VLOOKUP(A135,EQUIPEMENTS!A:B,2,0),""))</f>
        <v/>
      </c>
      <c r="C135" s="87">
        <f>IF(A135="","",IFERROR(VLOOKUP(A135,EQUIPEMENTS!A:D,4,0),""))</f>
        <v/>
      </c>
      <c r="D135" s="87">
        <f>IF(A135="","",IFERROR(VLOOKUP(A135,EQUIPEMENTS!A:M,13,0),""))</f>
        <v/>
      </c>
      <c r="E135" s="87">
        <f>IF(A135="","",COUNTIFS(MAINT_PREV!B:B,A135,MAINT_PREV!G:G,"Planifiée",MAINT_PREV!E:E,"&lt;"&amp;TODAY(),MAINT_PREV!H:H,""))</f>
        <v/>
      </c>
      <c r="F135" s="87">
        <f>IF(A135="","",COUNTIFS(INTERVENTIONS!B:B,A135,INTERVENTIONS!L:L,"Ouverte"))</f>
        <v/>
      </c>
      <c r="G135" s="87">
        <f>IF(A135="","",COUNTIFS(COMPOSANTS!B:B,A135,COMPOSANTS!G:G,"Défectueux"))</f>
        <v/>
      </c>
      <c r="H135" s="87">
        <f>IF(A135="","",IFERROR(VLOOKUP(A135,EQUIPEMENTS!A:R,18,0),""))</f>
        <v/>
      </c>
      <c r="I135" s="87">
        <f>IF(A135="","",IF(AND(C135="Haute",D135="En panne"),"🔴 CRITIQUE",IF(OR(E135&gt;0,F135&gt;0,G135&gt;0),"🟠 ATTENTION","🟢 OK")))</f>
        <v/>
      </c>
      <c r="J135" s="87">
        <f>IF(A135="","",IFERROR(VLOOKUP(A135,EQUIPEMENTS!A:Q,17,0),""))</f>
        <v/>
      </c>
      <c r="K135" s="87" t="n"/>
    </row>
    <row r="136" ht="15" customHeight="1" s="59">
      <c r="A136" s="84">
        <f>IFERROR(EQUIPEMENTS!A136,"")</f>
        <v/>
      </c>
      <c r="B136" s="84">
        <f>IF(A136="","",IFERROR(VLOOKUP(A136,EQUIPEMENTS!A:B,2,0),""))</f>
        <v/>
      </c>
      <c r="C136" s="84">
        <f>IF(A136="","",IFERROR(VLOOKUP(A136,EQUIPEMENTS!A:D,4,0),""))</f>
        <v/>
      </c>
      <c r="D136" s="84">
        <f>IF(A136="","",IFERROR(VLOOKUP(A136,EQUIPEMENTS!A:M,13,0),""))</f>
        <v/>
      </c>
      <c r="E136" s="84">
        <f>IF(A136="","",COUNTIFS(MAINT_PREV!B:B,A136,MAINT_PREV!G:G,"Planifiée",MAINT_PREV!E:E,"&lt;"&amp;TODAY(),MAINT_PREV!H:H,""))</f>
        <v/>
      </c>
      <c r="F136" s="84">
        <f>IF(A136="","",COUNTIFS(INTERVENTIONS!B:B,A136,INTERVENTIONS!L:L,"Ouverte"))</f>
        <v/>
      </c>
      <c r="G136" s="84">
        <f>IF(A136="","",COUNTIFS(COMPOSANTS!B:B,A136,COMPOSANTS!G:G,"Défectueux"))</f>
        <v/>
      </c>
      <c r="H136" s="84">
        <f>IF(A136="","",IFERROR(VLOOKUP(A136,EQUIPEMENTS!A:R,18,0),""))</f>
        <v/>
      </c>
      <c r="I136" s="84">
        <f>IF(A136="","",IF(AND(C136="Haute",D136="En panne"),"🔴 CRITIQUE",IF(OR(E136&gt;0,F136&gt;0,G136&gt;0),"🟠 ATTENTION","🟢 OK")))</f>
        <v/>
      </c>
      <c r="J136" s="84">
        <f>IF(A136="","",IFERROR(VLOOKUP(A136,EQUIPEMENTS!A:Q,17,0),""))</f>
        <v/>
      </c>
      <c r="K136" s="84" t="n"/>
    </row>
    <row r="137" ht="15" customHeight="1" s="59">
      <c r="A137" s="87">
        <f>IFERROR(EQUIPEMENTS!A137,"")</f>
        <v/>
      </c>
      <c r="B137" s="87">
        <f>IF(A137="","",IFERROR(VLOOKUP(A137,EQUIPEMENTS!A:B,2,0),""))</f>
        <v/>
      </c>
      <c r="C137" s="87">
        <f>IF(A137="","",IFERROR(VLOOKUP(A137,EQUIPEMENTS!A:D,4,0),""))</f>
        <v/>
      </c>
      <c r="D137" s="87">
        <f>IF(A137="","",IFERROR(VLOOKUP(A137,EQUIPEMENTS!A:M,13,0),""))</f>
        <v/>
      </c>
      <c r="E137" s="87">
        <f>IF(A137="","",COUNTIFS(MAINT_PREV!B:B,A137,MAINT_PREV!G:G,"Planifiée",MAINT_PREV!E:E,"&lt;"&amp;TODAY(),MAINT_PREV!H:H,""))</f>
        <v/>
      </c>
      <c r="F137" s="87">
        <f>IF(A137="","",COUNTIFS(INTERVENTIONS!B:B,A137,INTERVENTIONS!L:L,"Ouverte"))</f>
        <v/>
      </c>
      <c r="G137" s="87">
        <f>IF(A137="","",COUNTIFS(COMPOSANTS!B:B,A137,COMPOSANTS!G:G,"Défectueux"))</f>
        <v/>
      </c>
      <c r="H137" s="87">
        <f>IF(A137="","",IFERROR(VLOOKUP(A137,EQUIPEMENTS!A:R,18,0),""))</f>
        <v/>
      </c>
      <c r="I137" s="87">
        <f>IF(A137="","",IF(AND(C137="Haute",D137="En panne"),"🔴 CRITIQUE",IF(OR(E137&gt;0,F137&gt;0,G137&gt;0),"🟠 ATTENTION","🟢 OK")))</f>
        <v/>
      </c>
      <c r="J137" s="87">
        <f>IF(A137="","",IFERROR(VLOOKUP(A137,EQUIPEMENTS!A:Q,17,0),""))</f>
        <v/>
      </c>
      <c r="K137" s="87" t="n"/>
    </row>
    <row r="138" ht="15" customHeight="1" s="59">
      <c r="A138" s="84">
        <f>IFERROR(EQUIPEMENTS!A138,"")</f>
        <v/>
      </c>
      <c r="B138" s="84">
        <f>IF(A138="","",IFERROR(VLOOKUP(A138,EQUIPEMENTS!A:B,2,0),""))</f>
        <v/>
      </c>
      <c r="C138" s="84">
        <f>IF(A138="","",IFERROR(VLOOKUP(A138,EQUIPEMENTS!A:D,4,0),""))</f>
        <v/>
      </c>
      <c r="D138" s="84">
        <f>IF(A138="","",IFERROR(VLOOKUP(A138,EQUIPEMENTS!A:M,13,0),""))</f>
        <v/>
      </c>
      <c r="E138" s="84">
        <f>IF(A138="","",COUNTIFS(MAINT_PREV!B:B,A138,MAINT_PREV!G:G,"Planifiée",MAINT_PREV!E:E,"&lt;"&amp;TODAY(),MAINT_PREV!H:H,""))</f>
        <v/>
      </c>
      <c r="F138" s="84">
        <f>IF(A138="","",COUNTIFS(INTERVENTIONS!B:B,A138,INTERVENTIONS!L:L,"Ouverte"))</f>
        <v/>
      </c>
      <c r="G138" s="84">
        <f>IF(A138="","",COUNTIFS(COMPOSANTS!B:B,A138,COMPOSANTS!G:G,"Défectueux"))</f>
        <v/>
      </c>
      <c r="H138" s="84">
        <f>IF(A138="","",IFERROR(VLOOKUP(A138,EQUIPEMENTS!A:R,18,0),""))</f>
        <v/>
      </c>
      <c r="I138" s="84">
        <f>IF(A138="","",IF(AND(C138="Haute",D138="En panne"),"🔴 CRITIQUE",IF(OR(E138&gt;0,F138&gt;0,G138&gt;0),"🟠 ATTENTION","🟢 OK")))</f>
        <v/>
      </c>
      <c r="J138" s="84">
        <f>IF(A138="","",IFERROR(VLOOKUP(A138,EQUIPEMENTS!A:Q,17,0),""))</f>
        <v/>
      </c>
      <c r="K138" s="84" t="n"/>
    </row>
    <row r="139" ht="15" customHeight="1" s="59">
      <c r="A139" s="87">
        <f>IFERROR(EQUIPEMENTS!A139,"")</f>
        <v/>
      </c>
      <c r="B139" s="87">
        <f>IF(A139="","",IFERROR(VLOOKUP(A139,EQUIPEMENTS!A:B,2,0),""))</f>
        <v/>
      </c>
      <c r="C139" s="87">
        <f>IF(A139="","",IFERROR(VLOOKUP(A139,EQUIPEMENTS!A:D,4,0),""))</f>
        <v/>
      </c>
      <c r="D139" s="87">
        <f>IF(A139="","",IFERROR(VLOOKUP(A139,EQUIPEMENTS!A:M,13,0),""))</f>
        <v/>
      </c>
      <c r="E139" s="87">
        <f>IF(A139="","",COUNTIFS(MAINT_PREV!B:B,A139,MAINT_PREV!G:G,"Planifiée",MAINT_PREV!E:E,"&lt;"&amp;TODAY(),MAINT_PREV!H:H,""))</f>
        <v/>
      </c>
      <c r="F139" s="87">
        <f>IF(A139="","",COUNTIFS(INTERVENTIONS!B:B,A139,INTERVENTIONS!L:L,"Ouverte"))</f>
        <v/>
      </c>
      <c r="G139" s="87">
        <f>IF(A139="","",COUNTIFS(COMPOSANTS!B:B,A139,COMPOSANTS!G:G,"Défectueux"))</f>
        <v/>
      </c>
      <c r="H139" s="87">
        <f>IF(A139="","",IFERROR(VLOOKUP(A139,EQUIPEMENTS!A:R,18,0),""))</f>
        <v/>
      </c>
      <c r="I139" s="87">
        <f>IF(A139="","",IF(AND(C139="Haute",D139="En panne"),"🔴 CRITIQUE",IF(OR(E139&gt;0,F139&gt;0,G139&gt;0),"🟠 ATTENTION","🟢 OK")))</f>
        <v/>
      </c>
      <c r="J139" s="87">
        <f>IF(A139="","",IFERROR(VLOOKUP(A139,EQUIPEMENTS!A:Q,17,0),""))</f>
        <v/>
      </c>
      <c r="K139" s="87" t="n"/>
    </row>
    <row r="140" ht="15" customHeight="1" s="59">
      <c r="A140" s="84">
        <f>IFERROR(EQUIPEMENTS!A140,"")</f>
        <v/>
      </c>
      <c r="B140" s="84">
        <f>IF(A140="","",IFERROR(VLOOKUP(A140,EQUIPEMENTS!A:B,2,0),""))</f>
        <v/>
      </c>
      <c r="C140" s="84">
        <f>IF(A140="","",IFERROR(VLOOKUP(A140,EQUIPEMENTS!A:D,4,0),""))</f>
        <v/>
      </c>
      <c r="D140" s="84">
        <f>IF(A140="","",IFERROR(VLOOKUP(A140,EQUIPEMENTS!A:M,13,0),""))</f>
        <v/>
      </c>
      <c r="E140" s="84">
        <f>IF(A140="","",COUNTIFS(MAINT_PREV!B:B,A140,MAINT_PREV!G:G,"Planifiée",MAINT_PREV!E:E,"&lt;"&amp;TODAY(),MAINT_PREV!H:H,""))</f>
        <v/>
      </c>
      <c r="F140" s="84">
        <f>IF(A140="","",COUNTIFS(INTERVENTIONS!B:B,A140,INTERVENTIONS!L:L,"Ouverte"))</f>
        <v/>
      </c>
      <c r="G140" s="84">
        <f>IF(A140="","",COUNTIFS(COMPOSANTS!B:B,A140,COMPOSANTS!G:G,"Défectueux"))</f>
        <v/>
      </c>
      <c r="H140" s="84">
        <f>IF(A140="","",IFERROR(VLOOKUP(A140,EQUIPEMENTS!A:R,18,0),""))</f>
        <v/>
      </c>
      <c r="I140" s="84">
        <f>IF(A140="","",IF(AND(C140="Haute",D140="En panne"),"🔴 CRITIQUE",IF(OR(E140&gt;0,F140&gt;0,G140&gt;0),"🟠 ATTENTION","🟢 OK")))</f>
        <v/>
      </c>
      <c r="J140" s="84">
        <f>IF(A140="","",IFERROR(VLOOKUP(A140,EQUIPEMENTS!A:Q,17,0),""))</f>
        <v/>
      </c>
      <c r="K140" s="84" t="n"/>
    </row>
    <row r="141" ht="15" customHeight="1" s="59">
      <c r="A141" s="87">
        <f>IFERROR(EQUIPEMENTS!A141,"")</f>
        <v/>
      </c>
      <c r="B141" s="87">
        <f>IF(A141="","",IFERROR(VLOOKUP(A141,EQUIPEMENTS!A:B,2,0),""))</f>
        <v/>
      </c>
      <c r="C141" s="87">
        <f>IF(A141="","",IFERROR(VLOOKUP(A141,EQUIPEMENTS!A:D,4,0),""))</f>
        <v/>
      </c>
      <c r="D141" s="87">
        <f>IF(A141="","",IFERROR(VLOOKUP(A141,EQUIPEMENTS!A:M,13,0),""))</f>
        <v/>
      </c>
      <c r="E141" s="87">
        <f>IF(A141="","",COUNTIFS(MAINT_PREV!B:B,A141,MAINT_PREV!G:G,"Planifiée",MAINT_PREV!E:E,"&lt;"&amp;TODAY(),MAINT_PREV!H:H,""))</f>
        <v/>
      </c>
      <c r="F141" s="87">
        <f>IF(A141="","",COUNTIFS(INTERVENTIONS!B:B,A141,INTERVENTIONS!L:L,"Ouverte"))</f>
        <v/>
      </c>
      <c r="G141" s="87">
        <f>IF(A141="","",COUNTIFS(COMPOSANTS!B:B,A141,COMPOSANTS!G:G,"Défectueux"))</f>
        <v/>
      </c>
      <c r="H141" s="87">
        <f>IF(A141="","",IFERROR(VLOOKUP(A141,EQUIPEMENTS!A:R,18,0),""))</f>
        <v/>
      </c>
      <c r="I141" s="87">
        <f>IF(A141="","",IF(AND(C141="Haute",D141="En panne"),"🔴 CRITIQUE",IF(OR(E141&gt;0,F141&gt;0,G141&gt;0),"🟠 ATTENTION","🟢 OK")))</f>
        <v/>
      </c>
      <c r="J141" s="87">
        <f>IF(A141="","",IFERROR(VLOOKUP(A141,EQUIPEMENTS!A:Q,17,0),""))</f>
        <v/>
      </c>
      <c r="K141" s="87" t="n"/>
    </row>
    <row r="142" ht="15" customHeight="1" s="59">
      <c r="A142" s="84">
        <f>IFERROR(EQUIPEMENTS!A142,"")</f>
        <v/>
      </c>
      <c r="B142" s="84">
        <f>IF(A142="","",IFERROR(VLOOKUP(A142,EQUIPEMENTS!A:B,2,0),""))</f>
        <v/>
      </c>
      <c r="C142" s="84">
        <f>IF(A142="","",IFERROR(VLOOKUP(A142,EQUIPEMENTS!A:D,4,0),""))</f>
        <v/>
      </c>
      <c r="D142" s="84">
        <f>IF(A142="","",IFERROR(VLOOKUP(A142,EQUIPEMENTS!A:M,13,0),""))</f>
        <v/>
      </c>
      <c r="E142" s="84">
        <f>IF(A142="","",COUNTIFS(MAINT_PREV!B:B,A142,MAINT_PREV!G:G,"Planifiée",MAINT_PREV!E:E,"&lt;"&amp;TODAY(),MAINT_PREV!H:H,""))</f>
        <v/>
      </c>
      <c r="F142" s="84">
        <f>IF(A142="","",COUNTIFS(INTERVENTIONS!B:B,A142,INTERVENTIONS!L:L,"Ouverte"))</f>
        <v/>
      </c>
      <c r="G142" s="84">
        <f>IF(A142="","",COUNTIFS(COMPOSANTS!B:B,A142,COMPOSANTS!G:G,"Défectueux"))</f>
        <v/>
      </c>
      <c r="H142" s="84">
        <f>IF(A142="","",IFERROR(VLOOKUP(A142,EQUIPEMENTS!A:R,18,0),""))</f>
        <v/>
      </c>
      <c r="I142" s="84">
        <f>IF(A142="","",IF(AND(C142="Haute",D142="En panne"),"🔴 CRITIQUE",IF(OR(E142&gt;0,F142&gt;0,G142&gt;0),"🟠 ATTENTION","🟢 OK")))</f>
        <v/>
      </c>
      <c r="J142" s="84">
        <f>IF(A142="","",IFERROR(VLOOKUP(A142,EQUIPEMENTS!A:Q,17,0),""))</f>
        <v/>
      </c>
      <c r="K142" s="84" t="n"/>
    </row>
    <row r="143" ht="15" customHeight="1" s="59">
      <c r="A143" s="87">
        <f>IFERROR(EQUIPEMENTS!A143,"")</f>
        <v/>
      </c>
      <c r="B143" s="87">
        <f>IF(A143="","",IFERROR(VLOOKUP(A143,EQUIPEMENTS!A:B,2,0),""))</f>
        <v/>
      </c>
      <c r="C143" s="87">
        <f>IF(A143="","",IFERROR(VLOOKUP(A143,EQUIPEMENTS!A:D,4,0),""))</f>
        <v/>
      </c>
      <c r="D143" s="87">
        <f>IF(A143="","",IFERROR(VLOOKUP(A143,EQUIPEMENTS!A:M,13,0),""))</f>
        <v/>
      </c>
      <c r="E143" s="87">
        <f>IF(A143="","",COUNTIFS(MAINT_PREV!B:B,A143,MAINT_PREV!G:G,"Planifiée",MAINT_PREV!E:E,"&lt;"&amp;TODAY(),MAINT_PREV!H:H,""))</f>
        <v/>
      </c>
      <c r="F143" s="87">
        <f>IF(A143="","",COUNTIFS(INTERVENTIONS!B:B,A143,INTERVENTIONS!L:L,"Ouverte"))</f>
        <v/>
      </c>
      <c r="G143" s="87">
        <f>IF(A143="","",COUNTIFS(COMPOSANTS!B:B,A143,COMPOSANTS!G:G,"Défectueux"))</f>
        <v/>
      </c>
      <c r="H143" s="87">
        <f>IF(A143="","",IFERROR(VLOOKUP(A143,EQUIPEMENTS!A:R,18,0),""))</f>
        <v/>
      </c>
      <c r="I143" s="87">
        <f>IF(A143="","",IF(AND(C143="Haute",D143="En panne"),"🔴 CRITIQUE",IF(OR(E143&gt;0,F143&gt;0,G143&gt;0),"🟠 ATTENTION","🟢 OK")))</f>
        <v/>
      </c>
      <c r="J143" s="87">
        <f>IF(A143="","",IFERROR(VLOOKUP(A143,EQUIPEMENTS!A:Q,17,0),""))</f>
        <v/>
      </c>
      <c r="K143" s="87" t="n"/>
    </row>
    <row r="144" ht="15" customHeight="1" s="59">
      <c r="A144" s="84">
        <f>IFERROR(EQUIPEMENTS!A144,"")</f>
        <v/>
      </c>
      <c r="B144" s="84">
        <f>IF(A144="","",IFERROR(VLOOKUP(A144,EQUIPEMENTS!A:B,2,0),""))</f>
        <v/>
      </c>
      <c r="C144" s="84">
        <f>IF(A144="","",IFERROR(VLOOKUP(A144,EQUIPEMENTS!A:D,4,0),""))</f>
        <v/>
      </c>
      <c r="D144" s="84">
        <f>IF(A144="","",IFERROR(VLOOKUP(A144,EQUIPEMENTS!A:M,13,0),""))</f>
        <v/>
      </c>
      <c r="E144" s="84">
        <f>IF(A144="","",COUNTIFS(MAINT_PREV!B:B,A144,MAINT_PREV!G:G,"Planifiée",MAINT_PREV!E:E,"&lt;"&amp;TODAY(),MAINT_PREV!H:H,""))</f>
        <v/>
      </c>
      <c r="F144" s="84">
        <f>IF(A144="","",COUNTIFS(INTERVENTIONS!B:B,A144,INTERVENTIONS!L:L,"Ouverte"))</f>
        <v/>
      </c>
      <c r="G144" s="84">
        <f>IF(A144="","",COUNTIFS(COMPOSANTS!B:B,A144,COMPOSANTS!G:G,"Défectueux"))</f>
        <v/>
      </c>
      <c r="H144" s="84">
        <f>IF(A144="","",IFERROR(VLOOKUP(A144,EQUIPEMENTS!A:R,18,0),""))</f>
        <v/>
      </c>
      <c r="I144" s="84">
        <f>IF(A144="","",IF(AND(C144="Haute",D144="En panne"),"🔴 CRITIQUE",IF(OR(E144&gt;0,F144&gt;0,G144&gt;0),"🟠 ATTENTION","🟢 OK")))</f>
        <v/>
      </c>
      <c r="J144" s="84">
        <f>IF(A144="","",IFERROR(VLOOKUP(A144,EQUIPEMENTS!A:Q,17,0),""))</f>
        <v/>
      </c>
      <c r="K144" s="84" t="n"/>
    </row>
    <row r="145" ht="15" customHeight="1" s="59">
      <c r="A145" s="87">
        <f>IFERROR(EQUIPEMENTS!A145,"")</f>
        <v/>
      </c>
      <c r="B145" s="87">
        <f>IF(A145="","",IFERROR(VLOOKUP(A145,EQUIPEMENTS!A:B,2,0),""))</f>
        <v/>
      </c>
      <c r="C145" s="87">
        <f>IF(A145="","",IFERROR(VLOOKUP(A145,EQUIPEMENTS!A:D,4,0),""))</f>
        <v/>
      </c>
      <c r="D145" s="87">
        <f>IF(A145="","",IFERROR(VLOOKUP(A145,EQUIPEMENTS!A:M,13,0),""))</f>
        <v/>
      </c>
      <c r="E145" s="87">
        <f>IF(A145="","",COUNTIFS(MAINT_PREV!B:B,A145,MAINT_PREV!G:G,"Planifiée",MAINT_PREV!E:E,"&lt;"&amp;TODAY(),MAINT_PREV!H:H,""))</f>
        <v/>
      </c>
      <c r="F145" s="87">
        <f>IF(A145="","",COUNTIFS(INTERVENTIONS!B:B,A145,INTERVENTIONS!L:L,"Ouverte"))</f>
        <v/>
      </c>
      <c r="G145" s="87">
        <f>IF(A145="","",COUNTIFS(COMPOSANTS!B:B,A145,COMPOSANTS!G:G,"Défectueux"))</f>
        <v/>
      </c>
      <c r="H145" s="87">
        <f>IF(A145="","",IFERROR(VLOOKUP(A145,EQUIPEMENTS!A:R,18,0),""))</f>
        <v/>
      </c>
      <c r="I145" s="87">
        <f>IF(A145="","",IF(AND(C145="Haute",D145="En panne"),"🔴 CRITIQUE",IF(OR(E145&gt;0,F145&gt;0,G145&gt;0),"🟠 ATTENTION","🟢 OK")))</f>
        <v/>
      </c>
      <c r="J145" s="87">
        <f>IF(A145="","",IFERROR(VLOOKUP(A145,EQUIPEMENTS!A:Q,17,0),""))</f>
        <v/>
      </c>
      <c r="K145" s="87" t="n"/>
    </row>
    <row r="146" ht="15" customHeight="1" s="59">
      <c r="A146" s="84">
        <f>IFERROR(EQUIPEMENTS!A146,"")</f>
        <v/>
      </c>
      <c r="B146" s="84">
        <f>IF(A146="","",IFERROR(VLOOKUP(A146,EQUIPEMENTS!A:B,2,0),""))</f>
        <v/>
      </c>
      <c r="C146" s="84">
        <f>IF(A146="","",IFERROR(VLOOKUP(A146,EQUIPEMENTS!A:D,4,0),""))</f>
        <v/>
      </c>
      <c r="D146" s="84">
        <f>IF(A146="","",IFERROR(VLOOKUP(A146,EQUIPEMENTS!A:M,13,0),""))</f>
        <v/>
      </c>
      <c r="E146" s="84">
        <f>IF(A146="","",COUNTIFS(MAINT_PREV!B:B,A146,MAINT_PREV!G:G,"Planifiée",MAINT_PREV!E:E,"&lt;"&amp;TODAY(),MAINT_PREV!H:H,""))</f>
        <v/>
      </c>
      <c r="F146" s="84">
        <f>IF(A146="","",COUNTIFS(INTERVENTIONS!B:B,A146,INTERVENTIONS!L:L,"Ouverte"))</f>
        <v/>
      </c>
      <c r="G146" s="84">
        <f>IF(A146="","",COUNTIFS(COMPOSANTS!B:B,A146,COMPOSANTS!G:G,"Défectueux"))</f>
        <v/>
      </c>
      <c r="H146" s="84">
        <f>IF(A146="","",IFERROR(VLOOKUP(A146,EQUIPEMENTS!A:R,18,0),""))</f>
        <v/>
      </c>
      <c r="I146" s="84">
        <f>IF(A146="","",IF(AND(C146="Haute",D146="En panne"),"🔴 CRITIQUE",IF(OR(E146&gt;0,F146&gt;0,G146&gt;0),"🟠 ATTENTION","🟢 OK")))</f>
        <v/>
      </c>
      <c r="J146" s="84">
        <f>IF(A146="","",IFERROR(VLOOKUP(A146,EQUIPEMENTS!A:Q,17,0),""))</f>
        <v/>
      </c>
      <c r="K146" s="84" t="n"/>
    </row>
    <row r="147" ht="15" customHeight="1" s="59">
      <c r="A147" s="87">
        <f>IFERROR(EQUIPEMENTS!A147,"")</f>
        <v/>
      </c>
      <c r="B147" s="87">
        <f>IF(A147="","",IFERROR(VLOOKUP(A147,EQUIPEMENTS!A:B,2,0),""))</f>
        <v/>
      </c>
      <c r="C147" s="87">
        <f>IF(A147="","",IFERROR(VLOOKUP(A147,EQUIPEMENTS!A:D,4,0),""))</f>
        <v/>
      </c>
      <c r="D147" s="87">
        <f>IF(A147="","",IFERROR(VLOOKUP(A147,EQUIPEMENTS!A:M,13,0),""))</f>
        <v/>
      </c>
      <c r="E147" s="87">
        <f>IF(A147="","",COUNTIFS(MAINT_PREV!B:B,A147,MAINT_PREV!G:G,"Planifiée",MAINT_PREV!E:E,"&lt;"&amp;TODAY(),MAINT_PREV!H:H,""))</f>
        <v/>
      </c>
      <c r="F147" s="87">
        <f>IF(A147="","",COUNTIFS(INTERVENTIONS!B:B,A147,INTERVENTIONS!L:L,"Ouverte"))</f>
        <v/>
      </c>
      <c r="G147" s="87">
        <f>IF(A147="","",COUNTIFS(COMPOSANTS!B:B,A147,COMPOSANTS!G:G,"Défectueux"))</f>
        <v/>
      </c>
      <c r="H147" s="87">
        <f>IF(A147="","",IFERROR(VLOOKUP(A147,EQUIPEMENTS!A:R,18,0),""))</f>
        <v/>
      </c>
      <c r="I147" s="87">
        <f>IF(A147="","",IF(AND(C147="Haute",D147="En panne"),"🔴 CRITIQUE",IF(OR(E147&gt;0,F147&gt;0,G147&gt;0),"🟠 ATTENTION","🟢 OK")))</f>
        <v/>
      </c>
      <c r="J147" s="87">
        <f>IF(A147="","",IFERROR(VLOOKUP(A147,EQUIPEMENTS!A:Q,17,0),""))</f>
        <v/>
      </c>
      <c r="K147" s="87" t="n"/>
    </row>
    <row r="148" ht="15" customHeight="1" s="59">
      <c r="A148" s="84">
        <f>IFERROR(EQUIPEMENTS!A148,"")</f>
        <v/>
      </c>
      <c r="B148" s="84">
        <f>IF(A148="","",IFERROR(VLOOKUP(A148,EQUIPEMENTS!A:B,2,0),""))</f>
        <v/>
      </c>
      <c r="C148" s="84">
        <f>IF(A148="","",IFERROR(VLOOKUP(A148,EQUIPEMENTS!A:D,4,0),""))</f>
        <v/>
      </c>
      <c r="D148" s="84">
        <f>IF(A148="","",IFERROR(VLOOKUP(A148,EQUIPEMENTS!A:M,13,0),""))</f>
        <v/>
      </c>
      <c r="E148" s="84">
        <f>IF(A148="","",COUNTIFS(MAINT_PREV!B:B,A148,MAINT_PREV!G:G,"Planifiée",MAINT_PREV!E:E,"&lt;"&amp;TODAY(),MAINT_PREV!H:H,""))</f>
        <v/>
      </c>
      <c r="F148" s="84">
        <f>IF(A148="","",COUNTIFS(INTERVENTIONS!B:B,A148,INTERVENTIONS!L:L,"Ouverte"))</f>
        <v/>
      </c>
      <c r="G148" s="84">
        <f>IF(A148="","",COUNTIFS(COMPOSANTS!B:B,A148,COMPOSANTS!G:G,"Défectueux"))</f>
        <v/>
      </c>
      <c r="H148" s="84">
        <f>IF(A148="","",IFERROR(VLOOKUP(A148,EQUIPEMENTS!A:R,18,0),""))</f>
        <v/>
      </c>
      <c r="I148" s="84">
        <f>IF(A148="","",IF(AND(C148="Haute",D148="En panne"),"🔴 CRITIQUE",IF(OR(E148&gt;0,F148&gt;0,G148&gt;0),"🟠 ATTENTION","🟢 OK")))</f>
        <v/>
      </c>
      <c r="J148" s="84">
        <f>IF(A148="","",IFERROR(VLOOKUP(A148,EQUIPEMENTS!A:Q,17,0),""))</f>
        <v/>
      </c>
      <c r="K148" s="84" t="n"/>
    </row>
    <row r="149" ht="15" customHeight="1" s="59">
      <c r="A149" s="87">
        <f>IFERROR(EQUIPEMENTS!A149,"")</f>
        <v/>
      </c>
      <c r="B149" s="87">
        <f>IF(A149="","",IFERROR(VLOOKUP(A149,EQUIPEMENTS!A:B,2,0),""))</f>
        <v/>
      </c>
      <c r="C149" s="87">
        <f>IF(A149="","",IFERROR(VLOOKUP(A149,EQUIPEMENTS!A:D,4,0),""))</f>
        <v/>
      </c>
      <c r="D149" s="87">
        <f>IF(A149="","",IFERROR(VLOOKUP(A149,EQUIPEMENTS!A:M,13,0),""))</f>
        <v/>
      </c>
      <c r="E149" s="87">
        <f>IF(A149="","",COUNTIFS(MAINT_PREV!B:B,A149,MAINT_PREV!G:G,"Planifiée",MAINT_PREV!E:E,"&lt;"&amp;TODAY(),MAINT_PREV!H:H,""))</f>
        <v/>
      </c>
      <c r="F149" s="87">
        <f>IF(A149="","",COUNTIFS(INTERVENTIONS!B:B,A149,INTERVENTIONS!L:L,"Ouverte"))</f>
        <v/>
      </c>
      <c r="G149" s="87">
        <f>IF(A149="","",COUNTIFS(COMPOSANTS!B:B,A149,COMPOSANTS!G:G,"Défectueux"))</f>
        <v/>
      </c>
      <c r="H149" s="87">
        <f>IF(A149="","",IFERROR(VLOOKUP(A149,EQUIPEMENTS!A:R,18,0),""))</f>
        <v/>
      </c>
      <c r="I149" s="87">
        <f>IF(A149="","",IF(AND(C149="Haute",D149="En panne"),"🔴 CRITIQUE",IF(OR(E149&gt;0,F149&gt;0,G149&gt;0),"🟠 ATTENTION","🟢 OK")))</f>
        <v/>
      </c>
      <c r="J149" s="87">
        <f>IF(A149="","",IFERROR(VLOOKUP(A149,EQUIPEMENTS!A:Q,17,0),""))</f>
        <v/>
      </c>
      <c r="K149" s="87" t="n"/>
    </row>
    <row r="150" ht="15" customHeight="1" s="59">
      <c r="A150" s="84">
        <f>IFERROR(EQUIPEMENTS!A150,"")</f>
        <v/>
      </c>
      <c r="B150" s="84">
        <f>IF(A150="","",IFERROR(VLOOKUP(A150,EQUIPEMENTS!A:B,2,0),""))</f>
        <v/>
      </c>
      <c r="C150" s="84">
        <f>IF(A150="","",IFERROR(VLOOKUP(A150,EQUIPEMENTS!A:D,4,0),""))</f>
        <v/>
      </c>
      <c r="D150" s="84">
        <f>IF(A150="","",IFERROR(VLOOKUP(A150,EQUIPEMENTS!A:M,13,0),""))</f>
        <v/>
      </c>
      <c r="E150" s="84">
        <f>IF(A150="","",COUNTIFS(MAINT_PREV!B:B,A150,MAINT_PREV!G:G,"Planifiée",MAINT_PREV!E:E,"&lt;"&amp;TODAY(),MAINT_PREV!H:H,""))</f>
        <v/>
      </c>
      <c r="F150" s="84">
        <f>IF(A150="","",COUNTIFS(INTERVENTIONS!B:B,A150,INTERVENTIONS!L:L,"Ouverte"))</f>
        <v/>
      </c>
      <c r="G150" s="84">
        <f>IF(A150="","",COUNTIFS(COMPOSANTS!B:B,A150,COMPOSANTS!G:G,"Défectueux"))</f>
        <v/>
      </c>
      <c r="H150" s="84">
        <f>IF(A150="","",IFERROR(VLOOKUP(A150,EQUIPEMENTS!A:R,18,0),""))</f>
        <v/>
      </c>
      <c r="I150" s="84">
        <f>IF(A150="","",IF(AND(C150="Haute",D150="En panne"),"🔴 CRITIQUE",IF(OR(E150&gt;0,F150&gt;0,G150&gt;0),"🟠 ATTENTION","🟢 OK")))</f>
        <v/>
      </c>
      <c r="J150" s="84">
        <f>IF(A150="","",IFERROR(VLOOKUP(A150,EQUIPEMENTS!A:Q,17,0),""))</f>
        <v/>
      </c>
      <c r="K150" s="84" t="n"/>
    </row>
    <row r="151" ht="15" customHeight="1" s="59">
      <c r="A151" s="87">
        <f>IFERROR(EQUIPEMENTS!A151,"")</f>
        <v/>
      </c>
      <c r="B151" s="87">
        <f>IF(A151="","",IFERROR(VLOOKUP(A151,EQUIPEMENTS!A:B,2,0),""))</f>
        <v/>
      </c>
      <c r="C151" s="87">
        <f>IF(A151="","",IFERROR(VLOOKUP(A151,EQUIPEMENTS!A:D,4,0),""))</f>
        <v/>
      </c>
      <c r="D151" s="87">
        <f>IF(A151="","",IFERROR(VLOOKUP(A151,EQUIPEMENTS!A:M,13,0),""))</f>
        <v/>
      </c>
      <c r="E151" s="87">
        <f>IF(A151="","",COUNTIFS(MAINT_PREV!B:B,A151,MAINT_PREV!G:G,"Planifiée",MAINT_PREV!E:E,"&lt;"&amp;TODAY(),MAINT_PREV!H:H,""))</f>
        <v/>
      </c>
      <c r="F151" s="87">
        <f>IF(A151="","",COUNTIFS(INTERVENTIONS!B:B,A151,INTERVENTIONS!L:L,"Ouverte"))</f>
        <v/>
      </c>
      <c r="G151" s="87">
        <f>IF(A151="","",COUNTIFS(COMPOSANTS!B:B,A151,COMPOSANTS!G:G,"Défectueux"))</f>
        <v/>
      </c>
      <c r="H151" s="87">
        <f>IF(A151="","",IFERROR(VLOOKUP(A151,EQUIPEMENTS!A:R,18,0),""))</f>
        <v/>
      </c>
      <c r="I151" s="87">
        <f>IF(A151="","",IF(AND(C151="Haute",D151="En panne"),"🔴 CRITIQUE",IF(OR(E151&gt;0,F151&gt;0,G151&gt;0),"🟠 ATTENTION","🟢 OK")))</f>
        <v/>
      </c>
      <c r="J151" s="87">
        <f>IF(A151="","",IFERROR(VLOOKUP(A151,EQUIPEMENTS!A:Q,17,0),""))</f>
        <v/>
      </c>
      <c r="K151" s="87" t="n"/>
    </row>
    <row r="152" ht="15" customHeight="1" s="59">
      <c r="A152" s="84">
        <f>IFERROR(EQUIPEMENTS!A152,"")</f>
        <v/>
      </c>
      <c r="B152" s="84">
        <f>IF(A152="","",IFERROR(VLOOKUP(A152,EQUIPEMENTS!A:B,2,0),""))</f>
        <v/>
      </c>
      <c r="C152" s="84">
        <f>IF(A152="","",IFERROR(VLOOKUP(A152,EQUIPEMENTS!A:D,4,0),""))</f>
        <v/>
      </c>
      <c r="D152" s="84">
        <f>IF(A152="","",IFERROR(VLOOKUP(A152,EQUIPEMENTS!A:M,13,0),""))</f>
        <v/>
      </c>
      <c r="E152" s="84">
        <f>IF(A152="","",COUNTIFS(MAINT_PREV!B:B,A152,MAINT_PREV!G:G,"Planifiée",MAINT_PREV!E:E,"&lt;"&amp;TODAY(),MAINT_PREV!H:H,""))</f>
        <v/>
      </c>
      <c r="F152" s="84">
        <f>IF(A152="","",COUNTIFS(INTERVENTIONS!B:B,A152,INTERVENTIONS!L:L,"Ouverte"))</f>
        <v/>
      </c>
      <c r="G152" s="84">
        <f>IF(A152="","",COUNTIFS(COMPOSANTS!B:B,A152,COMPOSANTS!G:G,"Défectueux"))</f>
        <v/>
      </c>
      <c r="H152" s="84">
        <f>IF(A152="","",IFERROR(VLOOKUP(A152,EQUIPEMENTS!A:R,18,0),""))</f>
        <v/>
      </c>
      <c r="I152" s="84">
        <f>IF(A152="","",IF(AND(C152="Haute",D152="En panne"),"🔴 CRITIQUE",IF(OR(E152&gt;0,F152&gt;0,G152&gt;0),"🟠 ATTENTION","🟢 OK")))</f>
        <v/>
      </c>
      <c r="J152" s="84">
        <f>IF(A152="","",IFERROR(VLOOKUP(A152,EQUIPEMENTS!A:Q,17,0),""))</f>
        <v/>
      </c>
      <c r="K152" s="84" t="n"/>
    </row>
    <row r="153" ht="15" customHeight="1" s="59">
      <c r="A153" s="87">
        <f>IFERROR(EQUIPEMENTS!A153,"")</f>
        <v/>
      </c>
      <c r="B153" s="87">
        <f>IF(A153="","",IFERROR(VLOOKUP(A153,EQUIPEMENTS!A:B,2,0),""))</f>
        <v/>
      </c>
      <c r="C153" s="87">
        <f>IF(A153="","",IFERROR(VLOOKUP(A153,EQUIPEMENTS!A:D,4,0),""))</f>
        <v/>
      </c>
      <c r="D153" s="87">
        <f>IF(A153="","",IFERROR(VLOOKUP(A153,EQUIPEMENTS!A:M,13,0),""))</f>
        <v/>
      </c>
      <c r="E153" s="87">
        <f>IF(A153="","",COUNTIFS(MAINT_PREV!B:B,A153,MAINT_PREV!G:G,"Planifiée",MAINT_PREV!E:E,"&lt;"&amp;TODAY(),MAINT_PREV!H:H,""))</f>
        <v/>
      </c>
      <c r="F153" s="87">
        <f>IF(A153="","",COUNTIFS(INTERVENTIONS!B:B,A153,INTERVENTIONS!L:L,"Ouverte"))</f>
        <v/>
      </c>
      <c r="G153" s="87">
        <f>IF(A153="","",COUNTIFS(COMPOSANTS!B:B,A153,COMPOSANTS!G:G,"Défectueux"))</f>
        <v/>
      </c>
      <c r="H153" s="87">
        <f>IF(A153="","",IFERROR(VLOOKUP(A153,EQUIPEMENTS!A:R,18,0),""))</f>
        <v/>
      </c>
      <c r="I153" s="87">
        <f>IF(A153="","",IF(AND(C153="Haute",D153="En panne"),"🔴 CRITIQUE",IF(OR(E153&gt;0,F153&gt;0,G153&gt;0),"🟠 ATTENTION","🟢 OK")))</f>
        <v/>
      </c>
      <c r="J153" s="87">
        <f>IF(A153="","",IFERROR(VLOOKUP(A153,EQUIPEMENTS!A:Q,17,0),""))</f>
        <v/>
      </c>
      <c r="K153" s="87" t="n"/>
    </row>
    <row r="154" ht="15" customHeight="1" s="59">
      <c r="A154" s="84">
        <f>IFERROR(EQUIPEMENTS!A154,"")</f>
        <v/>
      </c>
      <c r="B154" s="84">
        <f>IF(A154="","",IFERROR(VLOOKUP(A154,EQUIPEMENTS!A:B,2,0),""))</f>
        <v/>
      </c>
      <c r="C154" s="84">
        <f>IF(A154="","",IFERROR(VLOOKUP(A154,EQUIPEMENTS!A:D,4,0),""))</f>
        <v/>
      </c>
      <c r="D154" s="84">
        <f>IF(A154="","",IFERROR(VLOOKUP(A154,EQUIPEMENTS!A:M,13,0),""))</f>
        <v/>
      </c>
      <c r="E154" s="84">
        <f>IF(A154="","",COUNTIFS(MAINT_PREV!B:B,A154,MAINT_PREV!G:G,"Planifiée",MAINT_PREV!E:E,"&lt;"&amp;TODAY(),MAINT_PREV!H:H,""))</f>
        <v/>
      </c>
      <c r="F154" s="84">
        <f>IF(A154="","",COUNTIFS(INTERVENTIONS!B:B,A154,INTERVENTIONS!L:L,"Ouverte"))</f>
        <v/>
      </c>
      <c r="G154" s="84">
        <f>IF(A154="","",COUNTIFS(COMPOSANTS!B:B,A154,COMPOSANTS!G:G,"Défectueux"))</f>
        <v/>
      </c>
      <c r="H154" s="84">
        <f>IF(A154="","",IFERROR(VLOOKUP(A154,EQUIPEMENTS!A:R,18,0),""))</f>
        <v/>
      </c>
      <c r="I154" s="84">
        <f>IF(A154="","",IF(AND(C154="Haute",D154="En panne"),"🔴 CRITIQUE",IF(OR(E154&gt;0,F154&gt;0,G154&gt;0),"🟠 ATTENTION","🟢 OK")))</f>
        <v/>
      </c>
      <c r="J154" s="84">
        <f>IF(A154="","",IFERROR(VLOOKUP(A154,EQUIPEMENTS!A:Q,17,0),""))</f>
        <v/>
      </c>
      <c r="K154" s="84" t="n"/>
    </row>
    <row r="155" ht="15" customHeight="1" s="59">
      <c r="A155" s="87">
        <f>IFERROR(EQUIPEMENTS!A155,"")</f>
        <v/>
      </c>
      <c r="B155" s="87">
        <f>IF(A155="","",IFERROR(VLOOKUP(A155,EQUIPEMENTS!A:B,2,0),""))</f>
        <v/>
      </c>
      <c r="C155" s="87">
        <f>IF(A155="","",IFERROR(VLOOKUP(A155,EQUIPEMENTS!A:D,4,0),""))</f>
        <v/>
      </c>
      <c r="D155" s="87">
        <f>IF(A155="","",IFERROR(VLOOKUP(A155,EQUIPEMENTS!A:M,13,0),""))</f>
        <v/>
      </c>
      <c r="E155" s="87">
        <f>IF(A155="","",COUNTIFS(MAINT_PREV!B:B,A155,MAINT_PREV!G:G,"Planifiée",MAINT_PREV!E:E,"&lt;"&amp;TODAY(),MAINT_PREV!H:H,""))</f>
        <v/>
      </c>
      <c r="F155" s="87">
        <f>IF(A155="","",COUNTIFS(INTERVENTIONS!B:B,A155,INTERVENTIONS!L:L,"Ouverte"))</f>
        <v/>
      </c>
      <c r="G155" s="87">
        <f>IF(A155="","",COUNTIFS(COMPOSANTS!B:B,A155,COMPOSANTS!G:G,"Défectueux"))</f>
        <v/>
      </c>
      <c r="H155" s="87">
        <f>IF(A155="","",IFERROR(VLOOKUP(A155,EQUIPEMENTS!A:R,18,0),""))</f>
        <v/>
      </c>
      <c r="I155" s="87">
        <f>IF(A155="","",IF(AND(C155="Haute",D155="En panne"),"🔴 CRITIQUE",IF(OR(E155&gt;0,F155&gt;0,G155&gt;0),"🟠 ATTENTION","🟢 OK")))</f>
        <v/>
      </c>
      <c r="J155" s="87">
        <f>IF(A155="","",IFERROR(VLOOKUP(A155,EQUIPEMENTS!A:Q,17,0),""))</f>
        <v/>
      </c>
      <c r="K155" s="87" t="n"/>
    </row>
    <row r="156" ht="15" customHeight="1" s="59">
      <c r="A156" s="84">
        <f>IFERROR(EQUIPEMENTS!A156,"")</f>
        <v/>
      </c>
      <c r="B156" s="84">
        <f>IF(A156="","",IFERROR(VLOOKUP(A156,EQUIPEMENTS!A:B,2,0),""))</f>
        <v/>
      </c>
      <c r="C156" s="84">
        <f>IF(A156="","",IFERROR(VLOOKUP(A156,EQUIPEMENTS!A:D,4,0),""))</f>
        <v/>
      </c>
      <c r="D156" s="84">
        <f>IF(A156="","",IFERROR(VLOOKUP(A156,EQUIPEMENTS!A:M,13,0),""))</f>
        <v/>
      </c>
      <c r="E156" s="84">
        <f>IF(A156="","",COUNTIFS(MAINT_PREV!B:B,A156,MAINT_PREV!G:G,"Planifiée",MAINT_PREV!E:E,"&lt;"&amp;TODAY(),MAINT_PREV!H:H,""))</f>
        <v/>
      </c>
      <c r="F156" s="84">
        <f>IF(A156="","",COUNTIFS(INTERVENTIONS!B:B,A156,INTERVENTIONS!L:L,"Ouverte"))</f>
        <v/>
      </c>
      <c r="G156" s="84">
        <f>IF(A156="","",COUNTIFS(COMPOSANTS!B:B,A156,COMPOSANTS!G:G,"Défectueux"))</f>
        <v/>
      </c>
      <c r="H156" s="84">
        <f>IF(A156="","",IFERROR(VLOOKUP(A156,EQUIPEMENTS!A:R,18,0),""))</f>
        <v/>
      </c>
      <c r="I156" s="84">
        <f>IF(A156="","",IF(AND(C156="Haute",D156="En panne"),"🔴 CRITIQUE",IF(OR(E156&gt;0,F156&gt;0,G156&gt;0),"🟠 ATTENTION","🟢 OK")))</f>
        <v/>
      </c>
      <c r="J156" s="84">
        <f>IF(A156="","",IFERROR(VLOOKUP(A156,EQUIPEMENTS!A:Q,17,0),""))</f>
        <v/>
      </c>
      <c r="K156" s="84" t="n"/>
    </row>
    <row r="157" ht="15" customHeight="1" s="59">
      <c r="A157" s="87">
        <f>IFERROR(EQUIPEMENTS!A157,"")</f>
        <v/>
      </c>
      <c r="B157" s="87">
        <f>IF(A157="","",IFERROR(VLOOKUP(A157,EQUIPEMENTS!A:B,2,0),""))</f>
        <v/>
      </c>
      <c r="C157" s="87">
        <f>IF(A157="","",IFERROR(VLOOKUP(A157,EQUIPEMENTS!A:D,4,0),""))</f>
        <v/>
      </c>
      <c r="D157" s="87">
        <f>IF(A157="","",IFERROR(VLOOKUP(A157,EQUIPEMENTS!A:M,13,0),""))</f>
        <v/>
      </c>
      <c r="E157" s="87">
        <f>IF(A157="","",COUNTIFS(MAINT_PREV!B:B,A157,MAINT_PREV!G:G,"Planifiée",MAINT_PREV!E:E,"&lt;"&amp;TODAY(),MAINT_PREV!H:H,""))</f>
        <v/>
      </c>
      <c r="F157" s="87">
        <f>IF(A157="","",COUNTIFS(INTERVENTIONS!B:B,A157,INTERVENTIONS!L:L,"Ouverte"))</f>
        <v/>
      </c>
      <c r="G157" s="87">
        <f>IF(A157="","",COUNTIFS(COMPOSANTS!B:B,A157,COMPOSANTS!G:G,"Défectueux"))</f>
        <v/>
      </c>
      <c r="H157" s="87">
        <f>IF(A157="","",IFERROR(VLOOKUP(A157,EQUIPEMENTS!A:R,18,0),""))</f>
        <v/>
      </c>
      <c r="I157" s="87">
        <f>IF(A157="","",IF(AND(C157="Haute",D157="En panne"),"🔴 CRITIQUE",IF(OR(E157&gt;0,F157&gt;0,G157&gt;0),"🟠 ATTENTION","🟢 OK")))</f>
        <v/>
      </c>
      <c r="J157" s="87">
        <f>IF(A157="","",IFERROR(VLOOKUP(A157,EQUIPEMENTS!A:Q,17,0),""))</f>
        <v/>
      </c>
      <c r="K157" s="87" t="n"/>
    </row>
    <row r="158" ht="15" customHeight="1" s="59">
      <c r="A158" s="84">
        <f>IFERROR(EQUIPEMENTS!A158,"")</f>
        <v/>
      </c>
      <c r="B158" s="84">
        <f>IF(A158="","",IFERROR(VLOOKUP(A158,EQUIPEMENTS!A:B,2,0),""))</f>
        <v/>
      </c>
      <c r="C158" s="84">
        <f>IF(A158="","",IFERROR(VLOOKUP(A158,EQUIPEMENTS!A:D,4,0),""))</f>
        <v/>
      </c>
      <c r="D158" s="84">
        <f>IF(A158="","",IFERROR(VLOOKUP(A158,EQUIPEMENTS!A:M,13,0),""))</f>
        <v/>
      </c>
      <c r="E158" s="84">
        <f>IF(A158="","",COUNTIFS(MAINT_PREV!B:B,A158,MAINT_PREV!G:G,"Planifiée",MAINT_PREV!E:E,"&lt;"&amp;TODAY(),MAINT_PREV!H:H,""))</f>
        <v/>
      </c>
      <c r="F158" s="84">
        <f>IF(A158="","",COUNTIFS(INTERVENTIONS!B:B,A158,INTERVENTIONS!L:L,"Ouverte"))</f>
        <v/>
      </c>
      <c r="G158" s="84">
        <f>IF(A158="","",COUNTIFS(COMPOSANTS!B:B,A158,COMPOSANTS!G:G,"Défectueux"))</f>
        <v/>
      </c>
      <c r="H158" s="84">
        <f>IF(A158="","",IFERROR(VLOOKUP(A158,EQUIPEMENTS!A:R,18,0),""))</f>
        <v/>
      </c>
      <c r="I158" s="84">
        <f>IF(A158="","",IF(AND(C158="Haute",D158="En panne"),"🔴 CRITIQUE",IF(OR(E158&gt;0,F158&gt;0,G158&gt;0),"🟠 ATTENTION","🟢 OK")))</f>
        <v/>
      </c>
      <c r="J158" s="84">
        <f>IF(A158="","",IFERROR(VLOOKUP(A158,EQUIPEMENTS!A:Q,17,0),""))</f>
        <v/>
      </c>
      <c r="K158" s="84" t="n"/>
    </row>
    <row r="159" ht="15" customHeight="1" s="59">
      <c r="A159" s="87">
        <f>IFERROR(EQUIPEMENTS!A159,"")</f>
        <v/>
      </c>
      <c r="B159" s="87">
        <f>IF(A159="","",IFERROR(VLOOKUP(A159,EQUIPEMENTS!A:B,2,0),""))</f>
        <v/>
      </c>
      <c r="C159" s="87">
        <f>IF(A159="","",IFERROR(VLOOKUP(A159,EQUIPEMENTS!A:D,4,0),""))</f>
        <v/>
      </c>
      <c r="D159" s="87">
        <f>IF(A159="","",IFERROR(VLOOKUP(A159,EQUIPEMENTS!A:M,13,0),""))</f>
        <v/>
      </c>
      <c r="E159" s="87">
        <f>IF(A159="","",COUNTIFS(MAINT_PREV!B:B,A159,MAINT_PREV!G:G,"Planifiée",MAINT_PREV!E:E,"&lt;"&amp;TODAY(),MAINT_PREV!H:H,""))</f>
        <v/>
      </c>
      <c r="F159" s="87">
        <f>IF(A159="","",COUNTIFS(INTERVENTIONS!B:B,A159,INTERVENTIONS!L:L,"Ouverte"))</f>
        <v/>
      </c>
      <c r="G159" s="87">
        <f>IF(A159="","",COUNTIFS(COMPOSANTS!B:B,A159,COMPOSANTS!G:G,"Défectueux"))</f>
        <v/>
      </c>
      <c r="H159" s="87">
        <f>IF(A159="","",IFERROR(VLOOKUP(A159,EQUIPEMENTS!A:R,18,0),""))</f>
        <v/>
      </c>
      <c r="I159" s="87">
        <f>IF(A159="","",IF(AND(C159="Haute",D159="En panne"),"🔴 CRITIQUE",IF(OR(E159&gt;0,F159&gt;0,G159&gt;0),"🟠 ATTENTION","🟢 OK")))</f>
        <v/>
      </c>
      <c r="J159" s="87">
        <f>IF(A159="","",IFERROR(VLOOKUP(A159,EQUIPEMENTS!A:Q,17,0),""))</f>
        <v/>
      </c>
      <c r="K159" s="87" t="n"/>
    </row>
    <row r="160" ht="15" customHeight="1" s="59">
      <c r="A160" s="84">
        <f>IFERROR(EQUIPEMENTS!A160,"")</f>
        <v/>
      </c>
      <c r="B160" s="84">
        <f>IF(A160="","",IFERROR(VLOOKUP(A160,EQUIPEMENTS!A:B,2,0),""))</f>
        <v/>
      </c>
      <c r="C160" s="84">
        <f>IF(A160="","",IFERROR(VLOOKUP(A160,EQUIPEMENTS!A:D,4,0),""))</f>
        <v/>
      </c>
      <c r="D160" s="84">
        <f>IF(A160="","",IFERROR(VLOOKUP(A160,EQUIPEMENTS!A:M,13,0),""))</f>
        <v/>
      </c>
      <c r="E160" s="84">
        <f>IF(A160="","",COUNTIFS(MAINT_PREV!B:B,A160,MAINT_PREV!G:G,"Planifiée",MAINT_PREV!E:E,"&lt;"&amp;TODAY(),MAINT_PREV!H:H,""))</f>
        <v/>
      </c>
      <c r="F160" s="84">
        <f>IF(A160="","",COUNTIFS(INTERVENTIONS!B:B,A160,INTERVENTIONS!L:L,"Ouverte"))</f>
        <v/>
      </c>
      <c r="G160" s="84">
        <f>IF(A160="","",COUNTIFS(COMPOSANTS!B:B,A160,COMPOSANTS!G:G,"Défectueux"))</f>
        <v/>
      </c>
      <c r="H160" s="84">
        <f>IF(A160="","",IFERROR(VLOOKUP(A160,EQUIPEMENTS!A:R,18,0),""))</f>
        <v/>
      </c>
      <c r="I160" s="84">
        <f>IF(A160="","",IF(AND(C160="Haute",D160="En panne"),"🔴 CRITIQUE",IF(OR(E160&gt;0,F160&gt;0,G160&gt;0),"🟠 ATTENTION","🟢 OK")))</f>
        <v/>
      </c>
      <c r="J160" s="84">
        <f>IF(A160="","",IFERROR(VLOOKUP(A160,EQUIPEMENTS!A:Q,17,0),""))</f>
        <v/>
      </c>
      <c r="K160" s="84" t="n"/>
    </row>
    <row r="161" ht="15" customHeight="1" s="59">
      <c r="A161" s="87">
        <f>IFERROR(EQUIPEMENTS!A161,"")</f>
        <v/>
      </c>
      <c r="B161" s="87">
        <f>IF(A161="","",IFERROR(VLOOKUP(A161,EQUIPEMENTS!A:B,2,0),""))</f>
        <v/>
      </c>
      <c r="C161" s="87">
        <f>IF(A161="","",IFERROR(VLOOKUP(A161,EQUIPEMENTS!A:D,4,0),""))</f>
        <v/>
      </c>
      <c r="D161" s="87">
        <f>IF(A161="","",IFERROR(VLOOKUP(A161,EQUIPEMENTS!A:M,13,0),""))</f>
        <v/>
      </c>
      <c r="E161" s="87">
        <f>IF(A161="","",COUNTIFS(MAINT_PREV!B:B,A161,MAINT_PREV!G:G,"Planifiée",MAINT_PREV!E:E,"&lt;"&amp;TODAY(),MAINT_PREV!H:H,""))</f>
        <v/>
      </c>
      <c r="F161" s="87">
        <f>IF(A161="","",COUNTIFS(INTERVENTIONS!B:B,A161,INTERVENTIONS!L:L,"Ouverte"))</f>
        <v/>
      </c>
      <c r="G161" s="87">
        <f>IF(A161="","",COUNTIFS(COMPOSANTS!B:B,A161,COMPOSANTS!G:G,"Défectueux"))</f>
        <v/>
      </c>
      <c r="H161" s="87">
        <f>IF(A161="","",IFERROR(VLOOKUP(A161,EQUIPEMENTS!A:R,18,0),""))</f>
        <v/>
      </c>
      <c r="I161" s="87">
        <f>IF(A161="","",IF(AND(C161="Haute",D161="En panne"),"🔴 CRITIQUE",IF(OR(E161&gt;0,F161&gt;0,G161&gt;0),"🟠 ATTENTION","🟢 OK")))</f>
        <v/>
      </c>
      <c r="J161" s="87">
        <f>IF(A161="","",IFERROR(VLOOKUP(A161,EQUIPEMENTS!A:Q,17,0),""))</f>
        <v/>
      </c>
      <c r="K161" s="87" t="n"/>
    </row>
    <row r="162" ht="15" customHeight="1" s="59">
      <c r="A162" s="84">
        <f>IFERROR(EQUIPEMENTS!A162,"")</f>
        <v/>
      </c>
      <c r="B162" s="84">
        <f>IF(A162="","",IFERROR(VLOOKUP(A162,EQUIPEMENTS!A:B,2,0),""))</f>
        <v/>
      </c>
      <c r="C162" s="84">
        <f>IF(A162="","",IFERROR(VLOOKUP(A162,EQUIPEMENTS!A:D,4,0),""))</f>
        <v/>
      </c>
      <c r="D162" s="84">
        <f>IF(A162="","",IFERROR(VLOOKUP(A162,EQUIPEMENTS!A:M,13,0),""))</f>
        <v/>
      </c>
      <c r="E162" s="84">
        <f>IF(A162="","",COUNTIFS(MAINT_PREV!B:B,A162,MAINT_PREV!G:G,"Planifiée",MAINT_PREV!E:E,"&lt;"&amp;TODAY(),MAINT_PREV!H:H,""))</f>
        <v/>
      </c>
      <c r="F162" s="84">
        <f>IF(A162="","",COUNTIFS(INTERVENTIONS!B:B,A162,INTERVENTIONS!L:L,"Ouverte"))</f>
        <v/>
      </c>
      <c r="G162" s="84">
        <f>IF(A162="","",COUNTIFS(COMPOSANTS!B:B,A162,COMPOSANTS!G:G,"Défectueux"))</f>
        <v/>
      </c>
      <c r="H162" s="84">
        <f>IF(A162="","",IFERROR(VLOOKUP(A162,EQUIPEMENTS!A:R,18,0),""))</f>
        <v/>
      </c>
      <c r="I162" s="84">
        <f>IF(A162="","",IF(AND(C162="Haute",D162="En panne"),"🔴 CRITIQUE",IF(OR(E162&gt;0,F162&gt;0,G162&gt;0),"🟠 ATTENTION","🟢 OK")))</f>
        <v/>
      </c>
      <c r="J162" s="84">
        <f>IF(A162="","",IFERROR(VLOOKUP(A162,EQUIPEMENTS!A:Q,17,0),""))</f>
        <v/>
      </c>
      <c r="K162" s="84" t="n"/>
    </row>
    <row r="163" ht="15" customHeight="1" s="59">
      <c r="A163" s="87">
        <f>IFERROR(EQUIPEMENTS!A163,"")</f>
        <v/>
      </c>
      <c r="B163" s="87">
        <f>IF(A163="","",IFERROR(VLOOKUP(A163,EQUIPEMENTS!A:B,2,0),""))</f>
        <v/>
      </c>
      <c r="C163" s="87">
        <f>IF(A163="","",IFERROR(VLOOKUP(A163,EQUIPEMENTS!A:D,4,0),""))</f>
        <v/>
      </c>
      <c r="D163" s="87">
        <f>IF(A163="","",IFERROR(VLOOKUP(A163,EQUIPEMENTS!A:M,13,0),""))</f>
        <v/>
      </c>
      <c r="E163" s="87">
        <f>IF(A163="","",COUNTIFS(MAINT_PREV!B:B,A163,MAINT_PREV!G:G,"Planifiée",MAINT_PREV!E:E,"&lt;"&amp;TODAY(),MAINT_PREV!H:H,""))</f>
        <v/>
      </c>
      <c r="F163" s="87">
        <f>IF(A163="","",COUNTIFS(INTERVENTIONS!B:B,A163,INTERVENTIONS!L:L,"Ouverte"))</f>
        <v/>
      </c>
      <c r="G163" s="87">
        <f>IF(A163="","",COUNTIFS(COMPOSANTS!B:B,A163,COMPOSANTS!G:G,"Défectueux"))</f>
        <v/>
      </c>
      <c r="H163" s="87">
        <f>IF(A163="","",IFERROR(VLOOKUP(A163,EQUIPEMENTS!A:R,18,0),""))</f>
        <v/>
      </c>
      <c r="I163" s="87">
        <f>IF(A163="","",IF(AND(C163="Haute",D163="En panne"),"🔴 CRITIQUE",IF(OR(E163&gt;0,F163&gt;0,G163&gt;0),"🟠 ATTENTION","🟢 OK")))</f>
        <v/>
      </c>
      <c r="J163" s="87">
        <f>IF(A163="","",IFERROR(VLOOKUP(A163,EQUIPEMENTS!A:Q,17,0),""))</f>
        <v/>
      </c>
      <c r="K163" s="87" t="n"/>
    </row>
    <row r="164" ht="15" customHeight="1" s="59">
      <c r="A164" s="84">
        <f>IFERROR(EQUIPEMENTS!A164,"")</f>
        <v/>
      </c>
      <c r="B164" s="84">
        <f>IF(A164="","",IFERROR(VLOOKUP(A164,EQUIPEMENTS!A:B,2,0),""))</f>
        <v/>
      </c>
      <c r="C164" s="84">
        <f>IF(A164="","",IFERROR(VLOOKUP(A164,EQUIPEMENTS!A:D,4,0),""))</f>
        <v/>
      </c>
      <c r="D164" s="84">
        <f>IF(A164="","",IFERROR(VLOOKUP(A164,EQUIPEMENTS!A:M,13,0),""))</f>
        <v/>
      </c>
      <c r="E164" s="84">
        <f>IF(A164="","",COUNTIFS(MAINT_PREV!B:B,A164,MAINT_PREV!G:G,"Planifiée",MAINT_PREV!E:E,"&lt;"&amp;TODAY(),MAINT_PREV!H:H,""))</f>
        <v/>
      </c>
      <c r="F164" s="84">
        <f>IF(A164="","",COUNTIFS(INTERVENTIONS!B:B,A164,INTERVENTIONS!L:L,"Ouverte"))</f>
        <v/>
      </c>
      <c r="G164" s="84">
        <f>IF(A164="","",COUNTIFS(COMPOSANTS!B:B,A164,COMPOSANTS!G:G,"Défectueux"))</f>
        <v/>
      </c>
      <c r="H164" s="84">
        <f>IF(A164="","",IFERROR(VLOOKUP(A164,EQUIPEMENTS!A:R,18,0),""))</f>
        <v/>
      </c>
      <c r="I164" s="84">
        <f>IF(A164="","",IF(AND(C164="Haute",D164="En panne"),"🔴 CRITIQUE",IF(OR(E164&gt;0,F164&gt;0,G164&gt;0),"🟠 ATTENTION","🟢 OK")))</f>
        <v/>
      </c>
      <c r="J164" s="84">
        <f>IF(A164="","",IFERROR(VLOOKUP(A164,EQUIPEMENTS!A:Q,17,0),""))</f>
        <v/>
      </c>
      <c r="K164" s="84" t="n"/>
    </row>
    <row r="165" ht="15" customHeight="1" s="59">
      <c r="A165" s="87">
        <f>IFERROR(EQUIPEMENTS!A165,"")</f>
        <v/>
      </c>
      <c r="B165" s="87">
        <f>IF(A165="","",IFERROR(VLOOKUP(A165,EQUIPEMENTS!A:B,2,0),""))</f>
        <v/>
      </c>
      <c r="C165" s="87">
        <f>IF(A165="","",IFERROR(VLOOKUP(A165,EQUIPEMENTS!A:D,4,0),""))</f>
        <v/>
      </c>
      <c r="D165" s="87">
        <f>IF(A165="","",IFERROR(VLOOKUP(A165,EQUIPEMENTS!A:M,13,0),""))</f>
        <v/>
      </c>
      <c r="E165" s="87">
        <f>IF(A165="","",COUNTIFS(MAINT_PREV!B:B,A165,MAINT_PREV!G:G,"Planifiée",MAINT_PREV!E:E,"&lt;"&amp;TODAY(),MAINT_PREV!H:H,""))</f>
        <v/>
      </c>
      <c r="F165" s="87">
        <f>IF(A165="","",COUNTIFS(INTERVENTIONS!B:B,A165,INTERVENTIONS!L:L,"Ouverte"))</f>
        <v/>
      </c>
      <c r="G165" s="87">
        <f>IF(A165="","",COUNTIFS(COMPOSANTS!B:B,A165,COMPOSANTS!G:G,"Défectueux"))</f>
        <v/>
      </c>
      <c r="H165" s="87">
        <f>IF(A165="","",IFERROR(VLOOKUP(A165,EQUIPEMENTS!A:R,18,0),""))</f>
        <v/>
      </c>
      <c r="I165" s="87">
        <f>IF(A165="","",IF(AND(C165="Haute",D165="En panne"),"🔴 CRITIQUE",IF(OR(E165&gt;0,F165&gt;0,G165&gt;0),"🟠 ATTENTION","🟢 OK")))</f>
        <v/>
      </c>
      <c r="J165" s="87">
        <f>IF(A165="","",IFERROR(VLOOKUP(A165,EQUIPEMENTS!A:Q,17,0),""))</f>
        <v/>
      </c>
      <c r="K165" s="87" t="n"/>
    </row>
    <row r="166" ht="15" customHeight="1" s="59">
      <c r="A166" s="84">
        <f>IFERROR(EQUIPEMENTS!A166,"")</f>
        <v/>
      </c>
      <c r="B166" s="84">
        <f>IF(A166="","",IFERROR(VLOOKUP(A166,EQUIPEMENTS!A:B,2,0),""))</f>
        <v/>
      </c>
      <c r="C166" s="84">
        <f>IF(A166="","",IFERROR(VLOOKUP(A166,EQUIPEMENTS!A:D,4,0),""))</f>
        <v/>
      </c>
      <c r="D166" s="84">
        <f>IF(A166="","",IFERROR(VLOOKUP(A166,EQUIPEMENTS!A:M,13,0),""))</f>
        <v/>
      </c>
      <c r="E166" s="84">
        <f>IF(A166="","",COUNTIFS(MAINT_PREV!B:B,A166,MAINT_PREV!G:G,"Planifiée",MAINT_PREV!E:E,"&lt;"&amp;TODAY(),MAINT_PREV!H:H,""))</f>
        <v/>
      </c>
      <c r="F166" s="84">
        <f>IF(A166="","",COUNTIFS(INTERVENTIONS!B:B,A166,INTERVENTIONS!L:L,"Ouverte"))</f>
        <v/>
      </c>
      <c r="G166" s="84">
        <f>IF(A166="","",COUNTIFS(COMPOSANTS!B:B,A166,COMPOSANTS!G:G,"Défectueux"))</f>
        <v/>
      </c>
      <c r="H166" s="84">
        <f>IF(A166="","",IFERROR(VLOOKUP(A166,EQUIPEMENTS!A:R,18,0),""))</f>
        <v/>
      </c>
      <c r="I166" s="84">
        <f>IF(A166="","",IF(AND(C166="Haute",D166="En panne"),"🔴 CRITIQUE",IF(OR(E166&gt;0,F166&gt;0,G166&gt;0),"🟠 ATTENTION","🟢 OK")))</f>
        <v/>
      </c>
      <c r="J166" s="84">
        <f>IF(A166="","",IFERROR(VLOOKUP(A166,EQUIPEMENTS!A:Q,17,0),""))</f>
        <v/>
      </c>
      <c r="K166" s="84" t="n"/>
    </row>
    <row r="167" ht="15" customHeight="1" s="59">
      <c r="A167" s="87">
        <f>IFERROR(EQUIPEMENTS!A167,"")</f>
        <v/>
      </c>
      <c r="B167" s="87">
        <f>IF(A167="","",IFERROR(VLOOKUP(A167,EQUIPEMENTS!A:B,2,0),""))</f>
        <v/>
      </c>
      <c r="C167" s="87">
        <f>IF(A167="","",IFERROR(VLOOKUP(A167,EQUIPEMENTS!A:D,4,0),""))</f>
        <v/>
      </c>
      <c r="D167" s="87">
        <f>IF(A167="","",IFERROR(VLOOKUP(A167,EQUIPEMENTS!A:M,13,0),""))</f>
        <v/>
      </c>
      <c r="E167" s="87">
        <f>IF(A167="","",COUNTIFS(MAINT_PREV!B:B,A167,MAINT_PREV!G:G,"Planifiée",MAINT_PREV!E:E,"&lt;"&amp;TODAY(),MAINT_PREV!H:H,""))</f>
        <v/>
      </c>
      <c r="F167" s="87">
        <f>IF(A167="","",COUNTIFS(INTERVENTIONS!B:B,A167,INTERVENTIONS!L:L,"Ouverte"))</f>
        <v/>
      </c>
      <c r="G167" s="87">
        <f>IF(A167="","",COUNTIFS(COMPOSANTS!B:B,A167,COMPOSANTS!G:G,"Défectueux"))</f>
        <v/>
      </c>
      <c r="H167" s="87">
        <f>IF(A167="","",IFERROR(VLOOKUP(A167,EQUIPEMENTS!A:R,18,0),""))</f>
        <v/>
      </c>
      <c r="I167" s="87">
        <f>IF(A167="","",IF(AND(C167="Haute",D167="En panne"),"🔴 CRITIQUE",IF(OR(E167&gt;0,F167&gt;0,G167&gt;0),"🟠 ATTENTION","🟢 OK")))</f>
        <v/>
      </c>
      <c r="J167" s="87">
        <f>IF(A167="","",IFERROR(VLOOKUP(A167,EQUIPEMENTS!A:Q,17,0),""))</f>
        <v/>
      </c>
      <c r="K167" s="87" t="n"/>
    </row>
    <row r="168" ht="15" customHeight="1" s="59">
      <c r="A168" s="84">
        <f>IFERROR(EQUIPEMENTS!A168,"")</f>
        <v/>
      </c>
      <c r="B168" s="84">
        <f>IF(A168="","",IFERROR(VLOOKUP(A168,EQUIPEMENTS!A:B,2,0),""))</f>
        <v/>
      </c>
      <c r="C168" s="84">
        <f>IF(A168="","",IFERROR(VLOOKUP(A168,EQUIPEMENTS!A:D,4,0),""))</f>
        <v/>
      </c>
      <c r="D168" s="84">
        <f>IF(A168="","",IFERROR(VLOOKUP(A168,EQUIPEMENTS!A:M,13,0),""))</f>
        <v/>
      </c>
      <c r="E168" s="84">
        <f>IF(A168="","",COUNTIFS(MAINT_PREV!B:B,A168,MAINT_PREV!G:G,"Planifiée",MAINT_PREV!E:E,"&lt;"&amp;TODAY(),MAINT_PREV!H:H,""))</f>
        <v/>
      </c>
      <c r="F168" s="84">
        <f>IF(A168="","",COUNTIFS(INTERVENTIONS!B:B,A168,INTERVENTIONS!L:L,"Ouverte"))</f>
        <v/>
      </c>
      <c r="G168" s="84">
        <f>IF(A168="","",COUNTIFS(COMPOSANTS!B:B,A168,COMPOSANTS!G:G,"Défectueux"))</f>
        <v/>
      </c>
      <c r="H168" s="84">
        <f>IF(A168="","",IFERROR(VLOOKUP(A168,EQUIPEMENTS!A:R,18,0),""))</f>
        <v/>
      </c>
      <c r="I168" s="84">
        <f>IF(A168="","",IF(AND(C168="Haute",D168="En panne"),"🔴 CRITIQUE",IF(OR(E168&gt;0,F168&gt;0,G168&gt;0),"🟠 ATTENTION","🟢 OK")))</f>
        <v/>
      </c>
      <c r="J168" s="84">
        <f>IF(A168="","",IFERROR(VLOOKUP(A168,EQUIPEMENTS!A:Q,17,0),""))</f>
        <v/>
      </c>
      <c r="K168" s="84" t="n"/>
    </row>
    <row r="169" ht="15" customHeight="1" s="59">
      <c r="A169" s="87">
        <f>IFERROR(EQUIPEMENTS!A169,"")</f>
        <v/>
      </c>
      <c r="B169" s="87">
        <f>IF(A169="","",IFERROR(VLOOKUP(A169,EQUIPEMENTS!A:B,2,0),""))</f>
        <v/>
      </c>
      <c r="C169" s="87">
        <f>IF(A169="","",IFERROR(VLOOKUP(A169,EQUIPEMENTS!A:D,4,0),""))</f>
        <v/>
      </c>
      <c r="D169" s="87">
        <f>IF(A169="","",IFERROR(VLOOKUP(A169,EQUIPEMENTS!A:M,13,0),""))</f>
        <v/>
      </c>
      <c r="E169" s="87">
        <f>IF(A169="","",COUNTIFS(MAINT_PREV!B:B,A169,MAINT_PREV!G:G,"Planifiée",MAINT_PREV!E:E,"&lt;"&amp;TODAY(),MAINT_PREV!H:H,""))</f>
        <v/>
      </c>
      <c r="F169" s="87">
        <f>IF(A169="","",COUNTIFS(INTERVENTIONS!B:B,A169,INTERVENTIONS!L:L,"Ouverte"))</f>
        <v/>
      </c>
      <c r="G169" s="87">
        <f>IF(A169="","",COUNTIFS(COMPOSANTS!B:B,A169,COMPOSANTS!G:G,"Défectueux"))</f>
        <v/>
      </c>
      <c r="H169" s="87">
        <f>IF(A169="","",IFERROR(VLOOKUP(A169,EQUIPEMENTS!A:R,18,0),""))</f>
        <v/>
      </c>
      <c r="I169" s="87">
        <f>IF(A169="","",IF(AND(C169="Haute",D169="En panne"),"🔴 CRITIQUE",IF(OR(E169&gt;0,F169&gt;0,G169&gt;0),"🟠 ATTENTION","🟢 OK")))</f>
        <v/>
      </c>
      <c r="J169" s="87">
        <f>IF(A169="","",IFERROR(VLOOKUP(A169,EQUIPEMENTS!A:Q,17,0),""))</f>
        <v/>
      </c>
      <c r="K169" s="87" t="n"/>
    </row>
    <row r="170" ht="15" customHeight="1" s="59">
      <c r="A170" s="84">
        <f>IFERROR(EQUIPEMENTS!A170,"")</f>
        <v/>
      </c>
      <c r="B170" s="84">
        <f>IF(A170="","",IFERROR(VLOOKUP(A170,EQUIPEMENTS!A:B,2,0),""))</f>
        <v/>
      </c>
      <c r="C170" s="84">
        <f>IF(A170="","",IFERROR(VLOOKUP(A170,EQUIPEMENTS!A:D,4,0),""))</f>
        <v/>
      </c>
      <c r="D170" s="84">
        <f>IF(A170="","",IFERROR(VLOOKUP(A170,EQUIPEMENTS!A:M,13,0),""))</f>
        <v/>
      </c>
      <c r="E170" s="84">
        <f>IF(A170="","",COUNTIFS(MAINT_PREV!B:B,A170,MAINT_PREV!G:G,"Planifiée",MAINT_PREV!E:E,"&lt;"&amp;TODAY(),MAINT_PREV!H:H,""))</f>
        <v/>
      </c>
      <c r="F170" s="84">
        <f>IF(A170="","",COUNTIFS(INTERVENTIONS!B:B,A170,INTERVENTIONS!L:L,"Ouverte"))</f>
        <v/>
      </c>
      <c r="G170" s="84">
        <f>IF(A170="","",COUNTIFS(COMPOSANTS!B:B,A170,COMPOSANTS!G:G,"Défectueux"))</f>
        <v/>
      </c>
      <c r="H170" s="84">
        <f>IF(A170="","",IFERROR(VLOOKUP(A170,EQUIPEMENTS!A:R,18,0),""))</f>
        <v/>
      </c>
      <c r="I170" s="84">
        <f>IF(A170="","",IF(AND(C170="Haute",D170="En panne"),"🔴 CRITIQUE",IF(OR(E170&gt;0,F170&gt;0,G170&gt;0),"🟠 ATTENTION","🟢 OK")))</f>
        <v/>
      </c>
      <c r="J170" s="84">
        <f>IF(A170="","",IFERROR(VLOOKUP(A170,EQUIPEMENTS!A:Q,17,0),""))</f>
        <v/>
      </c>
      <c r="K170" s="84" t="n"/>
    </row>
    <row r="171" ht="15" customHeight="1" s="59">
      <c r="A171" s="87">
        <f>IFERROR(EQUIPEMENTS!A171,"")</f>
        <v/>
      </c>
      <c r="B171" s="87">
        <f>IF(A171="","",IFERROR(VLOOKUP(A171,EQUIPEMENTS!A:B,2,0),""))</f>
        <v/>
      </c>
      <c r="C171" s="87">
        <f>IF(A171="","",IFERROR(VLOOKUP(A171,EQUIPEMENTS!A:D,4,0),""))</f>
        <v/>
      </c>
      <c r="D171" s="87">
        <f>IF(A171="","",IFERROR(VLOOKUP(A171,EQUIPEMENTS!A:M,13,0),""))</f>
        <v/>
      </c>
      <c r="E171" s="87">
        <f>IF(A171="","",COUNTIFS(MAINT_PREV!B:B,A171,MAINT_PREV!G:G,"Planifiée",MAINT_PREV!E:E,"&lt;"&amp;TODAY(),MAINT_PREV!H:H,""))</f>
        <v/>
      </c>
      <c r="F171" s="87">
        <f>IF(A171="","",COUNTIFS(INTERVENTIONS!B:B,A171,INTERVENTIONS!L:L,"Ouverte"))</f>
        <v/>
      </c>
      <c r="G171" s="87">
        <f>IF(A171="","",COUNTIFS(COMPOSANTS!B:B,A171,COMPOSANTS!G:G,"Défectueux"))</f>
        <v/>
      </c>
      <c r="H171" s="87">
        <f>IF(A171="","",IFERROR(VLOOKUP(A171,EQUIPEMENTS!A:R,18,0),""))</f>
        <v/>
      </c>
      <c r="I171" s="87">
        <f>IF(A171="","",IF(AND(C171="Haute",D171="En panne"),"🔴 CRITIQUE",IF(OR(E171&gt;0,F171&gt;0,G171&gt;0),"🟠 ATTENTION","🟢 OK")))</f>
        <v/>
      </c>
      <c r="J171" s="87">
        <f>IF(A171="","",IFERROR(VLOOKUP(A171,EQUIPEMENTS!A:Q,17,0),""))</f>
        <v/>
      </c>
      <c r="K171" s="87" t="n"/>
    </row>
    <row r="172" ht="15" customHeight="1" s="59">
      <c r="A172" s="84">
        <f>IFERROR(EQUIPEMENTS!A172,"")</f>
        <v/>
      </c>
      <c r="B172" s="84">
        <f>IF(A172="","",IFERROR(VLOOKUP(A172,EQUIPEMENTS!A:B,2,0),""))</f>
        <v/>
      </c>
      <c r="C172" s="84">
        <f>IF(A172="","",IFERROR(VLOOKUP(A172,EQUIPEMENTS!A:D,4,0),""))</f>
        <v/>
      </c>
      <c r="D172" s="84">
        <f>IF(A172="","",IFERROR(VLOOKUP(A172,EQUIPEMENTS!A:M,13,0),""))</f>
        <v/>
      </c>
      <c r="E172" s="84">
        <f>IF(A172="","",COUNTIFS(MAINT_PREV!B:B,A172,MAINT_PREV!G:G,"Planifiée",MAINT_PREV!E:E,"&lt;"&amp;TODAY(),MAINT_PREV!H:H,""))</f>
        <v/>
      </c>
      <c r="F172" s="84">
        <f>IF(A172="","",COUNTIFS(INTERVENTIONS!B:B,A172,INTERVENTIONS!L:L,"Ouverte"))</f>
        <v/>
      </c>
      <c r="G172" s="84">
        <f>IF(A172="","",COUNTIFS(COMPOSANTS!B:B,A172,COMPOSANTS!G:G,"Défectueux"))</f>
        <v/>
      </c>
      <c r="H172" s="84">
        <f>IF(A172="","",IFERROR(VLOOKUP(A172,EQUIPEMENTS!A:R,18,0),""))</f>
        <v/>
      </c>
      <c r="I172" s="84">
        <f>IF(A172="","",IF(AND(C172="Haute",D172="En panne"),"🔴 CRITIQUE",IF(OR(E172&gt;0,F172&gt;0,G172&gt;0),"🟠 ATTENTION","🟢 OK")))</f>
        <v/>
      </c>
      <c r="J172" s="84">
        <f>IF(A172="","",IFERROR(VLOOKUP(A172,EQUIPEMENTS!A:Q,17,0),""))</f>
        <v/>
      </c>
      <c r="K172" s="84" t="n"/>
    </row>
    <row r="173" ht="15" customHeight="1" s="59">
      <c r="A173" s="87">
        <f>IFERROR(EQUIPEMENTS!A173,"")</f>
        <v/>
      </c>
      <c r="B173" s="87">
        <f>IF(A173="","",IFERROR(VLOOKUP(A173,EQUIPEMENTS!A:B,2,0),""))</f>
        <v/>
      </c>
      <c r="C173" s="87">
        <f>IF(A173="","",IFERROR(VLOOKUP(A173,EQUIPEMENTS!A:D,4,0),""))</f>
        <v/>
      </c>
      <c r="D173" s="87">
        <f>IF(A173="","",IFERROR(VLOOKUP(A173,EQUIPEMENTS!A:M,13,0),""))</f>
        <v/>
      </c>
      <c r="E173" s="87">
        <f>IF(A173="","",COUNTIFS(MAINT_PREV!B:B,A173,MAINT_PREV!G:G,"Planifiée",MAINT_PREV!E:E,"&lt;"&amp;TODAY(),MAINT_PREV!H:H,""))</f>
        <v/>
      </c>
      <c r="F173" s="87">
        <f>IF(A173="","",COUNTIFS(INTERVENTIONS!B:B,A173,INTERVENTIONS!L:L,"Ouverte"))</f>
        <v/>
      </c>
      <c r="G173" s="87">
        <f>IF(A173="","",COUNTIFS(COMPOSANTS!B:B,A173,COMPOSANTS!G:G,"Défectueux"))</f>
        <v/>
      </c>
      <c r="H173" s="87">
        <f>IF(A173="","",IFERROR(VLOOKUP(A173,EQUIPEMENTS!A:R,18,0),""))</f>
        <v/>
      </c>
      <c r="I173" s="87">
        <f>IF(A173="","",IF(AND(C173="Haute",D173="En panne"),"🔴 CRITIQUE",IF(OR(E173&gt;0,F173&gt;0,G173&gt;0),"🟠 ATTENTION","🟢 OK")))</f>
        <v/>
      </c>
      <c r="J173" s="87">
        <f>IF(A173="","",IFERROR(VLOOKUP(A173,EQUIPEMENTS!A:Q,17,0),""))</f>
        <v/>
      </c>
      <c r="K173" s="87" t="n"/>
    </row>
    <row r="174" ht="15" customHeight="1" s="59">
      <c r="A174" s="84">
        <f>IFERROR(EQUIPEMENTS!A174,"")</f>
        <v/>
      </c>
      <c r="B174" s="84">
        <f>IF(A174="","",IFERROR(VLOOKUP(A174,EQUIPEMENTS!A:B,2,0),""))</f>
        <v/>
      </c>
      <c r="C174" s="84">
        <f>IF(A174="","",IFERROR(VLOOKUP(A174,EQUIPEMENTS!A:D,4,0),""))</f>
        <v/>
      </c>
      <c r="D174" s="84">
        <f>IF(A174="","",IFERROR(VLOOKUP(A174,EQUIPEMENTS!A:M,13,0),""))</f>
        <v/>
      </c>
      <c r="E174" s="84">
        <f>IF(A174="","",COUNTIFS(MAINT_PREV!B:B,A174,MAINT_PREV!G:G,"Planifiée",MAINT_PREV!E:E,"&lt;"&amp;TODAY(),MAINT_PREV!H:H,""))</f>
        <v/>
      </c>
      <c r="F174" s="84">
        <f>IF(A174="","",COUNTIFS(INTERVENTIONS!B:B,A174,INTERVENTIONS!L:L,"Ouverte"))</f>
        <v/>
      </c>
      <c r="G174" s="84">
        <f>IF(A174="","",COUNTIFS(COMPOSANTS!B:B,A174,COMPOSANTS!G:G,"Défectueux"))</f>
        <v/>
      </c>
      <c r="H174" s="84">
        <f>IF(A174="","",IFERROR(VLOOKUP(A174,EQUIPEMENTS!A:R,18,0),""))</f>
        <v/>
      </c>
      <c r="I174" s="84">
        <f>IF(A174="","",IF(AND(C174="Haute",D174="En panne"),"🔴 CRITIQUE",IF(OR(E174&gt;0,F174&gt;0,G174&gt;0),"🟠 ATTENTION","🟢 OK")))</f>
        <v/>
      </c>
      <c r="J174" s="84">
        <f>IF(A174="","",IFERROR(VLOOKUP(A174,EQUIPEMENTS!A:Q,17,0),""))</f>
        <v/>
      </c>
      <c r="K174" s="84" t="n"/>
    </row>
    <row r="175" ht="15" customHeight="1" s="59">
      <c r="A175" s="87">
        <f>IFERROR(EQUIPEMENTS!A175,"")</f>
        <v/>
      </c>
      <c r="B175" s="87">
        <f>IF(A175="","",IFERROR(VLOOKUP(A175,EQUIPEMENTS!A:B,2,0),""))</f>
        <v/>
      </c>
      <c r="C175" s="87">
        <f>IF(A175="","",IFERROR(VLOOKUP(A175,EQUIPEMENTS!A:D,4,0),""))</f>
        <v/>
      </c>
      <c r="D175" s="87">
        <f>IF(A175="","",IFERROR(VLOOKUP(A175,EQUIPEMENTS!A:M,13,0),""))</f>
        <v/>
      </c>
      <c r="E175" s="87">
        <f>IF(A175="","",COUNTIFS(MAINT_PREV!B:B,A175,MAINT_PREV!G:G,"Planifiée",MAINT_PREV!E:E,"&lt;"&amp;TODAY(),MAINT_PREV!H:H,""))</f>
        <v/>
      </c>
      <c r="F175" s="87">
        <f>IF(A175="","",COUNTIFS(INTERVENTIONS!B:B,A175,INTERVENTIONS!L:L,"Ouverte"))</f>
        <v/>
      </c>
      <c r="G175" s="87">
        <f>IF(A175="","",COUNTIFS(COMPOSANTS!B:B,A175,COMPOSANTS!G:G,"Défectueux"))</f>
        <v/>
      </c>
      <c r="H175" s="87">
        <f>IF(A175="","",IFERROR(VLOOKUP(A175,EQUIPEMENTS!A:R,18,0),""))</f>
        <v/>
      </c>
      <c r="I175" s="87">
        <f>IF(A175="","",IF(AND(C175="Haute",D175="En panne"),"🔴 CRITIQUE",IF(OR(E175&gt;0,F175&gt;0,G175&gt;0),"🟠 ATTENTION","🟢 OK")))</f>
        <v/>
      </c>
      <c r="J175" s="87">
        <f>IF(A175="","",IFERROR(VLOOKUP(A175,EQUIPEMENTS!A:Q,17,0),""))</f>
        <v/>
      </c>
      <c r="K175" s="87" t="n"/>
    </row>
    <row r="176" ht="15" customHeight="1" s="59">
      <c r="A176" s="84">
        <f>IFERROR(EQUIPEMENTS!A176,"")</f>
        <v/>
      </c>
      <c r="B176" s="84">
        <f>IF(A176="","",IFERROR(VLOOKUP(A176,EQUIPEMENTS!A:B,2,0),""))</f>
        <v/>
      </c>
      <c r="C176" s="84">
        <f>IF(A176="","",IFERROR(VLOOKUP(A176,EQUIPEMENTS!A:D,4,0),""))</f>
        <v/>
      </c>
      <c r="D176" s="84">
        <f>IF(A176="","",IFERROR(VLOOKUP(A176,EQUIPEMENTS!A:M,13,0),""))</f>
        <v/>
      </c>
      <c r="E176" s="84">
        <f>IF(A176="","",COUNTIFS(MAINT_PREV!B:B,A176,MAINT_PREV!G:G,"Planifiée",MAINT_PREV!E:E,"&lt;"&amp;TODAY(),MAINT_PREV!H:H,""))</f>
        <v/>
      </c>
      <c r="F176" s="84">
        <f>IF(A176="","",COUNTIFS(INTERVENTIONS!B:B,A176,INTERVENTIONS!L:L,"Ouverte"))</f>
        <v/>
      </c>
      <c r="G176" s="84">
        <f>IF(A176="","",COUNTIFS(COMPOSANTS!B:B,A176,COMPOSANTS!G:G,"Défectueux"))</f>
        <v/>
      </c>
      <c r="H176" s="84">
        <f>IF(A176="","",IFERROR(VLOOKUP(A176,EQUIPEMENTS!A:R,18,0),""))</f>
        <v/>
      </c>
      <c r="I176" s="84">
        <f>IF(A176="","",IF(AND(C176="Haute",D176="En panne"),"🔴 CRITIQUE",IF(OR(E176&gt;0,F176&gt;0,G176&gt;0),"🟠 ATTENTION","🟢 OK")))</f>
        <v/>
      </c>
      <c r="J176" s="84">
        <f>IF(A176="","",IFERROR(VLOOKUP(A176,EQUIPEMENTS!A:Q,17,0),""))</f>
        <v/>
      </c>
      <c r="K176" s="84" t="n"/>
    </row>
    <row r="177" ht="15" customHeight="1" s="59">
      <c r="A177" s="87">
        <f>IFERROR(EQUIPEMENTS!A177,"")</f>
        <v/>
      </c>
      <c r="B177" s="87">
        <f>IF(A177="","",IFERROR(VLOOKUP(A177,EQUIPEMENTS!A:B,2,0),""))</f>
        <v/>
      </c>
      <c r="C177" s="87">
        <f>IF(A177="","",IFERROR(VLOOKUP(A177,EQUIPEMENTS!A:D,4,0),""))</f>
        <v/>
      </c>
      <c r="D177" s="87">
        <f>IF(A177="","",IFERROR(VLOOKUP(A177,EQUIPEMENTS!A:M,13,0),""))</f>
        <v/>
      </c>
      <c r="E177" s="87">
        <f>IF(A177="","",COUNTIFS(MAINT_PREV!B:B,A177,MAINT_PREV!G:G,"Planifiée",MAINT_PREV!E:E,"&lt;"&amp;TODAY(),MAINT_PREV!H:H,""))</f>
        <v/>
      </c>
      <c r="F177" s="87">
        <f>IF(A177="","",COUNTIFS(INTERVENTIONS!B:B,A177,INTERVENTIONS!L:L,"Ouverte"))</f>
        <v/>
      </c>
      <c r="G177" s="87">
        <f>IF(A177="","",COUNTIFS(COMPOSANTS!B:B,A177,COMPOSANTS!G:G,"Défectueux"))</f>
        <v/>
      </c>
      <c r="H177" s="87">
        <f>IF(A177="","",IFERROR(VLOOKUP(A177,EQUIPEMENTS!A:R,18,0),""))</f>
        <v/>
      </c>
      <c r="I177" s="87">
        <f>IF(A177="","",IF(AND(C177="Haute",D177="En panne"),"🔴 CRITIQUE",IF(OR(E177&gt;0,F177&gt;0,G177&gt;0),"🟠 ATTENTION","🟢 OK")))</f>
        <v/>
      </c>
      <c r="J177" s="87">
        <f>IF(A177="","",IFERROR(VLOOKUP(A177,EQUIPEMENTS!A:Q,17,0),""))</f>
        <v/>
      </c>
      <c r="K177" s="87" t="n"/>
    </row>
    <row r="178" ht="15" customHeight="1" s="59">
      <c r="A178" s="84">
        <f>IFERROR(EQUIPEMENTS!A178,"")</f>
        <v/>
      </c>
      <c r="B178" s="84">
        <f>IF(A178="","",IFERROR(VLOOKUP(A178,EQUIPEMENTS!A:B,2,0),""))</f>
        <v/>
      </c>
      <c r="C178" s="84">
        <f>IF(A178="","",IFERROR(VLOOKUP(A178,EQUIPEMENTS!A:D,4,0),""))</f>
        <v/>
      </c>
      <c r="D178" s="84">
        <f>IF(A178="","",IFERROR(VLOOKUP(A178,EQUIPEMENTS!A:M,13,0),""))</f>
        <v/>
      </c>
      <c r="E178" s="84">
        <f>IF(A178="","",COUNTIFS(MAINT_PREV!B:B,A178,MAINT_PREV!G:G,"Planifiée",MAINT_PREV!E:E,"&lt;"&amp;TODAY(),MAINT_PREV!H:H,""))</f>
        <v/>
      </c>
      <c r="F178" s="84">
        <f>IF(A178="","",COUNTIFS(INTERVENTIONS!B:B,A178,INTERVENTIONS!L:L,"Ouverte"))</f>
        <v/>
      </c>
      <c r="G178" s="84">
        <f>IF(A178="","",COUNTIFS(COMPOSANTS!B:B,A178,COMPOSANTS!G:G,"Défectueux"))</f>
        <v/>
      </c>
      <c r="H178" s="84">
        <f>IF(A178="","",IFERROR(VLOOKUP(A178,EQUIPEMENTS!A:R,18,0),""))</f>
        <v/>
      </c>
      <c r="I178" s="84">
        <f>IF(A178="","",IF(AND(C178="Haute",D178="En panne"),"🔴 CRITIQUE",IF(OR(E178&gt;0,F178&gt;0,G178&gt;0),"🟠 ATTENTION","🟢 OK")))</f>
        <v/>
      </c>
      <c r="J178" s="84">
        <f>IF(A178="","",IFERROR(VLOOKUP(A178,EQUIPEMENTS!A:Q,17,0),""))</f>
        <v/>
      </c>
      <c r="K178" s="84" t="n"/>
    </row>
    <row r="179" ht="15" customHeight="1" s="59">
      <c r="A179" s="87">
        <f>IFERROR(EQUIPEMENTS!A179,"")</f>
        <v/>
      </c>
      <c r="B179" s="87">
        <f>IF(A179="","",IFERROR(VLOOKUP(A179,EQUIPEMENTS!A:B,2,0),""))</f>
        <v/>
      </c>
      <c r="C179" s="87">
        <f>IF(A179="","",IFERROR(VLOOKUP(A179,EQUIPEMENTS!A:D,4,0),""))</f>
        <v/>
      </c>
      <c r="D179" s="87">
        <f>IF(A179="","",IFERROR(VLOOKUP(A179,EQUIPEMENTS!A:M,13,0),""))</f>
        <v/>
      </c>
      <c r="E179" s="87">
        <f>IF(A179="","",COUNTIFS(MAINT_PREV!B:B,A179,MAINT_PREV!G:G,"Planifiée",MAINT_PREV!E:E,"&lt;"&amp;TODAY(),MAINT_PREV!H:H,""))</f>
        <v/>
      </c>
      <c r="F179" s="87">
        <f>IF(A179="","",COUNTIFS(INTERVENTIONS!B:B,A179,INTERVENTIONS!L:L,"Ouverte"))</f>
        <v/>
      </c>
      <c r="G179" s="87">
        <f>IF(A179="","",COUNTIFS(COMPOSANTS!B:B,A179,COMPOSANTS!G:G,"Défectueux"))</f>
        <v/>
      </c>
      <c r="H179" s="87">
        <f>IF(A179="","",IFERROR(VLOOKUP(A179,EQUIPEMENTS!A:R,18,0),""))</f>
        <v/>
      </c>
      <c r="I179" s="87">
        <f>IF(A179="","",IF(AND(C179="Haute",D179="En panne"),"🔴 CRITIQUE",IF(OR(E179&gt;0,F179&gt;0,G179&gt;0),"🟠 ATTENTION","🟢 OK")))</f>
        <v/>
      </c>
      <c r="J179" s="87">
        <f>IF(A179="","",IFERROR(VLOOKUP(A179,EQUIPEMENTS!A:Q,17,0),""))</f>
        <v/>
      </c>
      <c r="K179" s="87" t="n"/>
    </row>
    <row r="180" ht="15" customHeight="1" s="59">
      <c r="A180" s="84">
        <f>IFERROR(EQUIPEMENTS!A180,"")</f>
        <v/>
      </c>
      <c r="B180" s="84">
        <f>IF(A180="","",IFERROR(VLOOKUP(A180,EQUIPEMENTS!A:B,2,0),""))</f>
        <v/>
      </c>
      <c r="C180" s="84">
        <f>IF(A180="","",IFERROR(VLOOKUP(A180,EQUIPEMENTS!A:D,4,0),""))</f>
        <v/>
      </c>
      <c r="D180" s="84">
        <f>IF(A180="","",IFERROR(VLOOKUP(A180,EQUIPEMENTS!A:M,13,0),""))</f>
        <v/>
      </c>
      <c r="E180" s="84">
        <f>IF(A180="","",COUNTIFS(MAINT_PREV!B:B,A180,MAINT_PREV!G:G,"Planifiée",MAINT_PREV!E:E,"&lt;"&amp;TODAY(),MAINT_PREV!H:H,""))</f>
        <v/>
      </c>
      <c r="F180" s="84">
        <f>IF(A180="","",COUNTIFS(INTERVENTIONS!B:B,A180,INTERVENTIONS!L:L,"Ouverte"))</f>
        <v/>
      </c>
      <c r="G180" s="84">
        <f>IF(A180="","",COUNTIFS(COMPOSANTS!B:B,A180,COMPOSANTS!G:G,"Défectueux"))</f>
        <v/>
      </c>
      <c r="H180" s="84">
        <f>IF(A180="","",IFERROR(VLOOKUP(A180,EQUIPEMENTS!A:R,18,0),""))</f>
        <v/>
      </c>
      <c r="I180" s="84">
        <f>IF(A180="","",IF(AND(C180="Haute",D180="En panne"),"🔴 CRITIQUE",IF(OR(E180&gt;0,F180&gt;0,G180&gt;0),"🟠 ATTENTION","🟢 OK")))</f>
        <v/>
      </c>
      <c r="J180" s="84">
        <f>IF(A180="","",IFERROR(VLOOKUP(A180,EQUIPEMENTS!A:Q,17,0),""))</f>
        <v/>
      </c>
      <c r="K180" s="84" t="n"/>
    </row>
    <row r="181" ht="15" customHeight="1" s="59">
      <c r="A181" s="87">
        <f>IFERROR(EQUIPEMENTS!A181,"")</f>
        <v/>
      </c>
      <c r="B181" s="87">
        <f>IF(A181="","",IFERROR(VLOOKUP(A181,EQUIPEMENTS!A:B,2,0),""))</f>
        <v/>
      </c>
      <c r="C181" s="87">
        <f>IF(A181="","",IFERROR(VLOOKUP(A181,EQUIPEMENTS!A:D,4,0),""))</f>
        <v/>
      </c>
      <c r="D181" s="87">
        <f>IF(A181="","",IFERROR(VLOOKUP(A181,EQUIPEMENTS!A:M,13,0),""))</f>
        <v/>
      </c>
      <c r="E181" s="87">
        <f>IF(A181="","",COUNTIFS(MAINT_PREV!B:B,A181,MAINT_PREV!G:G,"Planifiée",MAINT_PREV!E:E,"&lt;"&amp;TODAY(),MAINT_PREV!H:H,""))</f>
        <v/>
      </c>
      <c r="F181" s="87">
        <f>IF(A181="","",COUNTIFS(INTERVENTIONS!B:B,A181,INTERVENTIONS!L:L,"Ouverte"))</f>
        <v/>
      </c>
      <c r="G181" s="87">
        <f>IF(A181="","",COUNTIFS(COMPOSANTS!B:B,A181,COMPOSANTS!G:G,"Défectueux"))</f>
        <v/>
      </c>
      <c r="H181" s="87">
        <f>IF(A181="","",IFERROR(VLOOKUP(A181,EQUIPEMENTS!A:R,18,0),""))</f>
        <v/>
      </c>
      <c r="I181" s="87">
        <f>IF(A181="","",IF(AND(C181="Haute",D181="En panne"),"🔴 CRITIQUE",IF(OR(E181&gt;0,F181&gt;0,G181&gt;0),"🟠 ATTENTION","🟢 OK")))</f>
        <v/>
      </c>
      <c r="J181" s="87">
        <f>IF(A181="","",IFERROR(VLOOKUP(A181,EQUIPEMENTS!A:Q,17,0),""))</f>
        <v/>
      </c>
      <c r="K181" s="87" t="n"/>
    </row>
    <row r="182" ht="15" customHeight="1" s="59">
      <c r="A182" s="84">
        <f>IFERROR(EQUIPEMENTS!A182,"")</f>
        <v/>
      </c>
      <c r="B182" s="84">
        <f>IF(A182="","",IFERROR(VLOOKUP(A182,EQUIPEMENTS!A:B,2,0),""))</f>
        <v/>
      </c>
      <c r="C182" s="84">
        <f>IF(A182="","",IFERROR(VLOOKUP(A182,EQUIPEMENTS!A:D,4,0),""))</f>
        <v/>
      </c>
      <c r="D182" s="84">
        <f>IF(A182="","",IFERROR(VLOOKUP(A182,EQUIPEMENTS!A:M,13,0),""))</f>
        <v/>
      </c>
      <c r="E182" s="84">
        <f>IF(A182="","",COUNTIFS(MAINT_PREV!B:B,A182,MAINT_PREV!G:G,"Planifiée",MAINT_PREV!E:E,"&lt;"&amp;TODAY(),MAINT_PREV!H:H,""))</f>
        <v/>
      </c>
      <c r="F182" s="84">
        <f>IF(A182="","",COUNTIFS(INTERVENTIONS!B:B,A182,INTERVENTIONS!L:L,"Ouverte"))</f>
        <v/>
      </c>
      <c r="G182" s="84">
        <f>IF(A182="","",COUNTIFS(COMPOSANTS!B:B,A182,COMPOSANTS!G:G,"Défectueux"))</f>
        <v/>
      </c>
      <c r="H182" s="84">
        <f>IF(A182="","",IFERROR(VLOOKUP(A182,EQUIPEMENTS!A:R,18,0),""))</f>
        <v/>
      </c>
      <c r="I182" s="84">
        <f>IF(A182="","",IF(AND(C182="Haute",D182="En panne"),"🔴 CRITIQUE",IF(OR(E182&gt;0,F182&gt;0,G182&gt;0),"🟠 ATTENTION","🟢 OK")))</f>
        <v/>
      </c>
      <c r="J182" s="84">
        <f>IF(A182="","",IFERROR(VLOOKUP(A182,EQUIPEMENTS!A:Q,17,0),""))</f>
        <v/>
      </c>
      <c r="K182" s="84" t="n"/>
    </row>
    <row r="183" ht="15" customHeight="1" s="59">
      <c r="A183" s="87">
        <f>IFERROR(EQUIPEMENTS!A183,"")</f>
        <v/>
      </c>
      <c r="B183" s="87">
        <f>IF(A183="","",IFERROR(VLOOKUP(A183,EQUIPEMENTS!A:B,2,0),""))</f>
        <v/>
      </c>
      <c r="C183" s="87">
        <f>IF(A183="","",IFERROR(VLOOKUP(A183,EQUIPEMENTS!A:D,4,0),""))</f>
        <v/>
      </c>
      <c r="D183" s="87">
        <f>IF(A183="","",IFERROR(VLOOKUP(A183,EQUIPEMENTS!A:M,13,0),""))</f>
        <v/>
      </c>
      <c r="E183" s="87">
        <f>IF(A183="","",COUNTIFS(MAINT_PREV!B:B,A183,MAINT_PREV!G:G,"Planifiée",MAINT_PREV!E:E,"&lt;"&amp;TODAY(),MAINT_PREV!H:H,""))</f>
        <v/>
      </c>
      <c r="F183" s="87">
        <f>IF(A183="","",COUNTIFS(INTERVENTIONS!B:B,A183,INTERVENTIONS!L:L,"Ouverte"))</f>
        <v/>
      </c>
      <c r="G183" s="87">
        <f>IF(A183="","",COUNTIFS(COMPOSANTS!B:B,A183,COMPOSANTS!G:G,"Défectueux"))</f>
        <v/>
      </c>
      <c r="H183" s="87">
        <f>IF(A183="","",IFERROR(VLOOKUP(A183,EQUIPEMENTS!A:R,18,0),""))</f>
        <v/>
      </c>
      <c r="I183" s="87">
        <f>IF(A183="","",IF(AND(C183="Haute",D183="En panne"),"🔴 CRITIQUE",IF(OR(E183&gt;0,F183&gt;0,G183&gt;0),"🟠 ATTENTION","🟢 OK")))</f>
        <v/>
      </c>
      <c r="J183" s="87">
        <f>IF(A183="","",IFERROR(VLOOKUP(A183,EQUIPEMENTS!A:Q,17,0),""))</f>
        <v/>
      </c>
      <c r="K183" s="87" t="n"/>
    </row>
    <row r="184" ht="15" customHeight="1" s="59">
      <c r="A184" s="84">
        <f>IFERROR(EQUIPEMENTS!A184,"")</f>
        <v/>
      </c>
      <c r="B184" s="84">
        <f>IF(A184="","",IFERROR(VLOOKUP(A184,EQUIPEMENTS!A:B,2,0),""))</f>
        <v/>
      </c>
      <c r="C184" s="84">
        <f>IF(A184="","",IFERROR(VLOOKUP(A184,EQUIPEMENTS!A:D,4,0),""))</f>
        <v/>
      </c>
      <c r="D184" s="84">
        <f>IF(A184="","",IFERROR(VLOOKUP(A184,EQUIPEMENTS!A:M,13,0),""))</f>
        <v/>
      </c>
      <c r="E184" s="84">
        <f>IF(A184="","",COUNTIFS(MAINT_PREV!B:B,A184,MAINT_PREV!G:G,"Planifiée",MAINT_PREV!E:E,"&lt;"&amp;TODAY(),MAINT_PREV!H:H,""))</f>
        <v/>
      </c>
      <c r="F184" s="84">
        <f>IF(A184="","",COUNTIFS(INTERVENTIONS!B:B,A184,INTERVENTIONS!L:L,"Ouverte"))</f>
        <v/>
      </c>
      <c r="G184" s="84">
        <f>IF(A184="","",COUNTIFS(COMPOSANTS!B:B,A184,COMPOSANTS!G:G,"Défectueux"))</f>
        <v/>
      </c>
      <c r="H184" s="84">
        <f>IF(A184="","",IFERROR(VLOOKUP(A184,EQUIPEMENTS!A:R,18,0),""))</f>
        <v/>
      </c>
      <c r="I184" s="84">
        <f>IF(A184="","",IF(AND(C184="Haute",D184="En panne"),"🔴 CRITIQUE",IF(OR(E184&gt;0,F184&gt;0,G184&gt;0),"🟠 ATTENTION","🟢 OK")))</f>
        <v/>
      </c>
      <c r="J184" s="84">
        <f>IF(A184="","",IFERROR(VLOOKUP(A184,EQUIPEMENTS!A:Q,17,0),""))</f>
        <v/>
      </c>
      <c r="K184" s="84" t="n"/>
    </row>
    <row r="185" ht="15" customHeight="1" s="59">
      <c r="A185" s="87">
        <f>IFERROR(EQUIPEMENTS!A185,"")</f>
        <v/>
      </c>
      <c r="B185" s="87">
        <f>IF(A185="","",IFERROR(VLOOKUP(A185,EQUIPEMENTS!A:B,2,0),""))</f>
        <v/>
      </c>
      <c r="C185" s="87">
        <f>IF(A185="","",IFERROR(VLOOKUP(A185,EQUIPEMENTS!A:D,4,0),""))</f>
        <v/>
      </c>
      <c r="D185" s="87">
        <f>IF(A185="","",IFERROR(VLOOKUP(A185,EQUIPEMENTS!A:M,13,0),""))</f>
        <v/>
      </c>
      <c r="E185" s="87">
        <f>IF(A185="","",COUNTIFS(MAINT_PREV!B:B,A185,MAINT_PREV!G:G,"Planifiée",MAINT_PREV!E:E,"&lt;"&amp;TODAY(),MAINT_PREV!H:H,""))</f>
        <v/>
      </c>
      <c r="F185" s="87">
        <f>IF(A185="","",COUNTIFS(INTERVENTIONS!B:B,A185,INTERVENTIONS!L:L,"Ouverte"))</f>
        <v/>
      </c>
      <c r="G185" s="87">
        <f>IF(A185="","",COUNTIFS(COMPOSANTS!B:B,A185,COMPOSANTS!G:G,"Défectueux"))</f>
        <v/>
      </c>
      <c r="H185" s="87">
        <f>IF(A185="","",IFERROR(VLOOKUP(A185,EQUIPEMENTS!A:R,18,0),""))</f>
        <v/>
      </c>
      <c r="I185" s="87">
        <f>IF(A185="","",IF(AND(C185="Haute",D185="En panne"),"🔴 CRITIQUE",IF(OR(E185&gt;0,F185&gt;0,G185&gt;0),"🟠 ATTENTION","🟢 OK")))</f>
        <v/>
      </c>
      <c r="J185" s="87">
        <f>IF(A185="","",IFERROR(VLOOKUP(A185,EQUIPEMENTS!A:Q,17,0),""))</f>
        <v/>
      </c>
      <c r="K185" s="87" t="n"/>
    </row>
    <row r="186" ht="15" customHeight="1" s="59">
      <c r="A186" s="84">
        <f>IFERROR(EQUIPEMENTS!A186,"")</f>
        <v/>
      </c>
      <c r="B186" s="84">
        <f>IF(A186="","",IFERROR(VLOOKUP(A186,EQUIPEMENTS!A:B,2,0),""))</f>
        <v/>
      </c>
      <c r="C186" s="84">
        <f>IF(A186="","",IFERROR(VLOOKUP(A186,EQUIPEMENTS!A:D,4,0),""))</f>
        <v/>
      </c>
      <c r="D186" s="84">
        <f>IF(A186="","",IFERROR(VLOOKUP(A186,EQUIPEMENTS!A:M,13,0),""))</f>
        <v/>
      </c>
      <c r="E186" s="84">
        <f>IF(A186="","",COUNTIFS(MAINT_PREV!B:B,A186,MAINT_PREV!G:G,"Planifiée",MAINT_PREV!E:E,"&lt;"&amp;TODAY(),MAINT_PREV!H:H,""))</f>
        <v/>
      </c>
      <c r="F186" s="84">
        <f>IF(A186="","",COUNTIFS(INTERVENTIONS!B:B,A186,INTERVENTIONS!L:L,"Ouverte"))</f>
        <v/>
      </c>
      <c r="G186" s="84">
        <f>IF(A186="","",COUNTIFS(COMPOSANTS!B:B,A186,COMPOSANTS!G:G,"Défectueux"))</f>
        <v/>
      </c>
      <c r="H186" s="84">
        <f>IF(A186="","",IFERROR(VLOOKUP(A186,EQUIPEMENTS!A:R,18,0),""))</f>
        <v/>
      </c>
      <c r="I186" s="84">
        <f>IF(A186="","",IF(AND(C186="Haute",D186="En panne"),"🔴 CRITIQUE",IF(OR(E186&gt;0,F186&gt;0,G186&gt;0),"🟠 ATTENTION","🟢 OK")))</f>
        <v/>
      </c>
      <c r="J186" s="84">
        <f>IF(A186="","",IFERROR(VLOOKUP(A186,EQUIPEMENTS!A:Q,17,0),""))</f>
        <v/>
      </c>
      <c r="K186" s="84" t="n"/>
    </row>
    <row r="187" ht="15" customHeight="1" s="59">
      <c r="A187" s="87">
        <f>IFERROR(EQUIPEMENTS!A187,"")</f>
        <v/>
      </c>
      <c r="B187" s="87">
        <f>IF(A187="","",IFERROR(VLOOKUP(A187,EQUIPEMENTS!A:B,2,0),""))</f>
        <v/>
      </c>
      <c r="C187" s="87">
        <f>IF(A187="","",IFERROR(VLOOKUP(A187,EQUIPEMENTS!A:D,4,0),""))</f>
        <v/>
      </c>
      <c r="D187" s="87">
        <f>IF(A187="","",IFERROR(VLOOKUP(A187,EQUIPEMENTS!A:M,13,0),""))</f>
        <v/>
      </c>
      <c r="E187" s="87">
        <f>IF(A187="","",COUNTIFS(MAINT_PREV!B:B,A187,MAINT_PREV!G:G,"Planifiée",MAINT_PREV!E:E,"&lt;"&amp;TODAY(),MAINT_PREV!H:H,""))</f>
        <v/>
      </c>
      <c r="F187" s="87">
        <f>IF(A187="","",COUNTIFS(INTERVENTIONS!B:B,A187,INTERVENTIONS!L:L,"Ouverte"))</f>
        <v/>
      </c>
      <c r="G187" s="87">
        <f>IF(A187="","",COUNTIFS(COMPOSANTS!B:B,A187,COMPOSANTS!G:G,"Défectueux"))</f>
        <v/>
      </c>
      <c r="H187" s="87">
        <f>IF(A187="","",IFERROR(VLOOKUP(A187,EQUIPEMENTS!A:R,18,0),""))</f>
        <v/>
      </c>
      <c r="I187" s="87">
        <f>IF(A187="","",IF(AND(C187="Haute",D187="En panne"),"🔴 CRITIQUE",IF(OR(E187&gt;0,F187&gt;0,G187&gt;0),"🟠 ATTENTION","🟢 OK")))</f>
        <v/>
      </c>
      <c r="J187" s="87">
        <f>IF(A187="","",IFERROR(VLOOKUP(A187,EQUIPEMENTS!A:Q,17,0),""))</f>
        <v/>
      </c>
      <c r="K187" s="87" t="n"/>
    </row>
    <row r="188" ht="15" customHeight="1" s="59">
      <c r="A188" s="84">
        <f>IFERROR(EQUIPEMENTS!A188,"")</f>
        <v/>
      </c>
      <c r="B188" s="84">
        <f>IF(A188="","",IFERROR(VLOOKUP(A188,EQUIPEMENTS!A:B,2,0),""))</f>
        <v/>
      </c>
      <c r="C188" s="84">
        <f>IF(A188="","",IFERROR(VLOOKUP(A188,EQUIPEMENTS!A:D,4,0),""))</f>
        <v/>
      </c>
      <c r="D188" s="84">
        <f>IF(A188="","",IFERROR(VLOOKUP(A188,EQUIPEMENTS!A:M,13,0),""))</f>
        <v/>
      </c>
      <c r="E188" s="84">
        <f>IF(A188="","",COUNTIFS(MAINT_PREV!B:B,A188,MAINT_PREV!G:G,"Planifiée",MAINT_PREV!E:E,"&lt;"&amp;TODAY(),MAINT_PREV!H:H,""))</f>
        <v/>
      </c>
      <c r="F188" s="84">
        <f>IF(A188="","",COUNTIFS(INTERVENTIONS!B:B,A188,INTERVENTIONS!L:L,"Ouverte"))</f>
        <v/>
      </c>
      <c r="G188" s="84">
        <f>IF(A188="","",COUNTIFS(COMPOSANTS!B:B,A188,COMPOSANTS!G:G,"Défectueux"))</f>
        <v/>
      </c>
      <c r="H188" s="84">
        <f>IF(A188="","",IFERROR(VLOOKUP(A188,EQUIPEMENTS!A:R,18,0),""))</f>
        <v/>
      </c>
      <c r="I188" s="84">
        <f>IF(A188="","",IF(AND(C188="Haute",D188="En panne"),"🔴 CRITIQUE",IF(OR(E188&gt;0,F188&gt;0,G188&gt;0),"🟠 ATTENTION","🟢 OK")))</f>
        <v/>
      </c>
      <c r="J188" s="84">
        <f>IF(A188="","",IFERROR(VLOOKUP(A188,EQUIPEMENTS!A:Q,17,0),""))</f>
        <v/>
      </c>
      <c r="K188" s="84" t="n"/>
    </row>
    <row r="189" ht="15" customHeight="1" s="59">
      <c r="A189" s="87">
        <f>IFERROR(EQUIPEMENTS!A189,"")</f>
        <v/>
      </c>
      <c r="B189" s="87">
        <f>IF(A189="","",IFERROR(VLOOKUP(A189,EQUIPEMENTS!A:B,2,0),""))</f>
        <v/>
      </c>
      <c r="C189" s="87">
        <f>IF(A189="","",IFERROR(VLOOKUP(A189,EQUIPEMENTS!A:D,4,0),""))</f>
        <v/>
      </c>
      <c r="D189" s="87">
        <f>IF(A189="","",IFERROR(VLOOKUP(A189,EQUIPEMENTS!A:M,13,0),""))</f>
        <v/>
      </c>
      <c r="E189" s="87">
        <f>IF(A189="","",COUNTIFS(MAINT_PREV!B:B,A189,MAINT_PREV!G:G,"Planifiée",MAINT_PREV!E:E,"&lt;"&amp;TODAY(),MAINT_PREV!H:H,""))</f>
        <v/>
      </c>
      <c r="F189" s="87">
        <f>IF(A189="","",COUNTIFS(INTERVENTIONS!B:B,A189,INTERVENTIONS!L:L,"Ouverte"))</f>
        <v/>
      </c>
      <c r="G189" s="87">
        <f>IF(A189="","",COUNTIFS(COMPOSANTS!B:B,A189,COMPOSANTS!G:G,"Défectueux"))</f>
        <v/>
      </c>
      <c r="H189" s="87">
        <f>IF(A189="","",IFERROR(VLOOKUP(A189,EQUIPEMENTS!A:R,18,0),""))</f>
        <v/>
      </c>
      <c r="I189" s="87">
        <f>IF(A189="","",IF(AND(C189="Haute",D189="En panne"),"🔴 CRITIQUE",IF(OR(E189&gt;0,F189&gt;0,G189&gt;0),"🟠 ATTENTION","🟢 OK")))</f>
        <v/>
      </c>
      <c r="J189" s="87">
        <f>IF(A189="","",IFERROR(VLOOKUP(A189,EQUIPEMENTS!A:Q,17,0),""))</f>
        <v/>
      </c>
      <c r="K189" s="87" t="n"/>
    </row>
    <row r="190" ht="15" customHeight="1" s="59">
      <c r="A190" s="84">
        <f>IFERROR(EQUIPEMENTS!A190,"")</f>
        <v/>
      </c>
      <c r="B190" s="84">
        <f>IF(A190="","",IFERROR(VLOOKUP(A190,EQUIPEMENTS!A:B,2,0),""))</f>
        <v/>
      </c>
      <c r="C190" s="84">
        <f>IF(A190="","",IFERROR(VLOOKUP(A190,EQUIPEMENTS!A:D,4,0),""))</f>
        <v/>
      </c>
      <c r="D190" s="84">
        <f>IF(A190="","",IFERROR(VLOOKUP(A190,EQUIPEMENTS!A:M,13,0),""))</f>
        <v/>
      </c>
      <c r="E190" s="84">
        <f>IF(A190="","",COUNTIFS(MAINT_PREV!B:B,A190,MAINT_PREV!G:G,"Planifiée",MAINT_PREV!E:E,"&lt;"&amp;TODAY(),MAINT_PREV!H:H,""))</f>
        <v/>
      </c>
      <c r="F190" s="84">
        <f>IF(A190="","",COUNTIFS(INTERVENTIONS!B:B,A190,INTERVENTIONS!L:L,"Ouverte"))</f>
        <v/>
      </c>
      <c r="G190" s="84">
        <f>IF(A190="","",COUNTIFS(COMPOSANTS!B:B,A190,COMPOSANTS!G:G,"Défectueux"))</f>
        <v/>
      </c>
      <c r="H190" s="84">
        <f>IF(A190="","",IFERROR(VLOOKUP(A190,EQUIPEMENTS!A:R,18,0),""))</f>
        <v/>
      </c>
      <c r="I190" s="84">
        <f>IF(A190="","",IF(AND(C190="Haute",D190="En panne"),"🔴 CRITIQUE",IF(OR(E190&gt;0,F190&gt;0,G190&gt;0),"🟠 ATTENTION","🟢 OK")))</f>
        <v/>
      </c>
      <c r="J190" s="84">
        <f>IF(A190="","",IFERROR(VLOOKUP(A190,EQUIPEMENTS!A:Q,17,0),""))</f>
        <v/>
      </c>
      <c r="K190" s="84" t="n"/>
    </row>
    <row r="191" ht="15" customHeight="1" s="59">
      <c r="A191" s="87">
        <f>IFERROR(EQUIPEMENTS!A191,"")</f>
        <v/>
      </c>
      <c r="B191" s="87">
        <f>IF(A191="","",IFERROR(VLOOKUP(A191,EQUIPEMENTS!A:B,2,0),""))</f>
        <v/>
      </c>
      <c r="C191" s="87">
        <f>IF(A191="","",IFERROR(VLOOKUP(A191,EQUIPEMENTS!A:D,4,0),""))</f>
        <v/>
      </c>
      <c r="D191" s="87">
        <f>IF(A191="","",IFERROR(VLOOKUP(A191,EQUIPEMENTS!A:M,13,0),""))</f>
        <v/>
      </c>
      <c r="E191" s="87">
        <f>IF(A191="","",COUNTIFS(MAINT_PREV!B:B,A191,MAINT_PREV!G:G,"Planifiée",MAINT_PREV!E:E,"&lt;"&amp;TODAY(),MAINT_PREV!H:H,""))</f>
        <v/>
      </c>
      <c r="F191" s="87">
        <f>IF(A191="","",COUNTIFS(INTERVENTIONS!B:B,A191,INTERVENTIONS!L:L,"Ouverte"))</f>
        <v/>
      </c>
      <c r="G191" s="87">
        <f>IF(A191="","",COUNTIFS(COMPOSANTS!B:B,A191,COMPOSANTS!G:G,"Défectueux"))</f>
        <v/>
      </c>
      <c r="H191" s="87">
        <f>IF(A191="","",IFERROR(VLOOKUP(A191,EQUIPEMENTS!A:R,18,0),""))</f>
        <v/>
      </c>
      <c r="I191" s="87">
        <f>IF(A191="","",IF(AND(C191="Haute",D191="En panne"),"🔴 CRITIQUE",IF(OR(E191&gt;0,F191&gt;0,G191&gt;0),"🟠 ATTENTION","🟢 OK")))</f>
        <v/>
      </c>
      <c r="J191" s="87">
        <f>IF(A191="","",IFERROR(VLOOKUP(A191,EQUIPEMENTS!A:Q,17,0),""))</f>
        <v/>
      </c>
      <c r="K191" s="87" t="n"/>
    </row>
    <row r="192" ht="15" customHeight="1" s="59">
      <c r="A192" s="84">
        <f>IFERROR(EQUIPEMENTS!A192,"")</f>
        <v/>
      </c>
      <c r="B192" s="84">
        <f>IF(A192="","",IFERROR(VLOOKUP(A192,EQUIPEMENTS!A:B,2,0),""))</f>
        <v/>
      </c>
      <c r="C192" s="84">
        <f>IF(A192="","",IFERROR(VLOOKUP(A192,EQUIPEMENTS!A:D,4,0),""))</f>
        <v/>
      </c>
      <c r="D192" s="84">
        <f>IF(A192="","",IFERROR(VLOOKUP(A192,EQUIPEMENTS!A:M,13,0),""))</f>
        <v/>
      </c>
      <c r="E192" s="84">
        <f>IF(A192="","",COUNTIFS(MAINT_PREV!B:B,A192,MAINT_PREV!G:G,"Planifiée",MAINT_PREV!E:E,"&lt;"&amp;TODAY(),MAINT_PREV!H:H,""))</f>
        <v/>
      </c>
      <c r="F192" s="84">
        <f>IF(A192="","",COUNTIFS(INTERVENTIONS!B:B,A192,INTERVENTIONS!L:L,"Ouverte"))</f>
        <v/>
      </c>
      <c r="G192" s="84">
        <f>IF(A192="","",COUNTIFS(COMPOSANTS!B:B,A192,COMPOSANTS!G:G,"Défectueux"))</f>
        <v/>
      </c>
      <c r="H192" s="84">
        <f>IF(A192="","",IFERROR(VLOOKUP(A192,EQUIPEMENTS!A:R,18,0),""))</f>
        <v/>
      </c>
      <c r="I192" s="84">
        <f>IF(A192="","",IF(AND(C192="Haute",D192="En panne"),"🔴 CRITIQUE",IF(OR(E192&gt;0,F192&gt;0,G192&gt;0),"🟠 ATTENTION","🟢 OK")))</f>
        <v/>
      </c>
      <c r="J192" s="84">
        <f>IF(A192="","",IFERROR(VLOOKUP(A192,EQUIPEMENTS!A:Q,17,0),""))</f>
        <v/>
      </c>
      <c r="K192" s="84" t="n"/>
    </row>
    <row r="193" ht="15" customHeight="1" s="59">
      <c r="A193" s="87">
        <f>IFERROR(EQUIPEMENTS!A193,"")</f>
        <v/>
      </c>
      <c r="B193" s="87">
        <f>IF(A193="","",IFERROR(VLOOKUP(A193,EQUIPEMENTS!A:B,2,0),""))</f>
        <v/>
      </c>
      <c r="C193" s="87">
        <f>IF(A193="","",IFERROR(VLOOKUP(A193,EQUIPEMENTS!A:D,4,0),""))</f>
        <v/>
      </c>
      <c r="D193" s="87">
        <f>IF(A193="","",IFERROR(VLOOKUP(A193,EQUIPEMENTS!A:M,13,0),""))</f>
        <v/>
      </c>
      <c r="E193" s="87">
        <f>IF(A193="","",COUNTIFS(MAINT_PREV!B:B,A193,MAINT_PREV!G:G,"Planifiée",MAINT_PREV!E:E,"&lt;"&amp;TODAY(),MAINT_PREV!H:H,""))</f>
        <v/>
      </c>
      <c r="F193" s="87">
        <f>IF(A193="","",COUNTIFS(INTERVENTIONS!B:B,A193,INTERVENTIONS!L:L,"Ouverte"))</f>
        <v/>
      </c>
      <c r="G193" s="87">
        <f>IF(A193="","",COUNTIFS(COMPOSANTS!B:B,A193,COMPOSANTS!G:G,"Défectueux"))</f>
        <v/>
      </c>
      <c r="H193" s="87">
        <f>IF(A193="","",IFERROR(VLOOKUP(A193,EQUIPEMENTS!A:R,18,0),""))</f>
        <v/>
      </c>
      <c r="I193" s="87">
        <f>IF(A193="","",IF(AND(C193="Haute",D193="En panne"),"🔴 CRITIQUE",IF(OR(E193&gt;0,F193&gt;0,G193&gt;0),"🟠 ATTENTION","🟢 OK")))</f>
        <v/>
      </c>
      <c r="J193" s="87">
        <f>IF(A193="","",IFERROR(VLOOKUP(A193,EQUIPEMENTS!A:Q,17,0),""))</f>
        <v/>
      </c>
      <c r="K193" s="87" t="n"/>
    </row>
    <row r="194" ht="15" customHeight="1" s="59">
      <c r="A194" s="84">
        <f>IFERROR(EQUIPEMENTS!A194,"")</f>
        <v/>
      </c>
      <c r="B194" s="84">
        <f>IF(A194="","",IFERROR(VLOOKUP(A194,EQUIPEMENTS!A:B,2,0),""))</f>
        <v/>
      </c>
      <c r="C194" s="84">
        <f>IF(A194="","",IFERROR(VLOOKUP(A194,EQUIPEMENTS!A:D,4,0),""))</f>
        <v/>
      </c>
      <c r="D194" s="84">
        <f>IF(A194="","",IFERROR(VLOOKUP(A194,EQUIPEMENTS!A:M,13,0),""))</f>
        <v/>
      </c>
      <c r="E194" s="84">
        <f>IF(A194="","",COUNTIFS(MAINT_PREV!B:B,A194,MAINT_PREV!G:G,"Planifiée",MAINT_PREV!E:E,"&lt;"&amp;TODAY(),MAINT_PREV!H:H,""))</f>
        <v/>
      </c>
      <c r="F194" s="84">
        <f>IF(A194="","",COUNTIFS(INTERVENTIONS!B:B,A194,INTERVENTIONS!L:L,"Ouverte"))</f>
        <v/>
      </c>
      <c r="G194" s="84">
        <f>IF(A194="","",COUNTIFS(COMPOSANTS!B:B,A194,COMPOSANTS!G:G,"Défectueux"))</f>
        <v/>
      </c>
      <c r="H194" s="84">
        <f>IF(A194="","",IFERROR(VLOOKUP(A194,EQUIPEMENTS!A:R,18,0),""))</f>
        <v/>
      </c>
      <c r="I194" s="84">
        <f>IF(A194="","",IF(AND(C194="Haute",D194="En panne"),"🔴 CRITIQUE",IF(OR(E194&gt;0,F194&gt;0,G194&gt;0),"🟠 ATTENTION","🟢 OK")))</f>
        <v/>
      </c>
      <c r="J194" s="84">
        <f>IF(A194="","",IFERROR(VLOOKUP(A194,EQUIPEMENTS!A:Q,17,0),""))</f>
        <v/>
      </c>
      <c r="K194" s="84" t="n"/>
    </row>
    <row r="195" ht="15" customHeight="1" s="59">
      <c r="A195" s="87">
        <f>IFERROR(EQUIPEMENTS!A195,"")</f>
        <v/>
      </c>
      <c r="B195" s="87">
        <f>IF(A195="","",IFERROR(VLOOKUP(A195,EQUIPEMENTS!A:B,2,0),""))</f>
        <v/>
      </c>
      <c r="C195" s="87">
        <f>IF(A195="","",IFERROR(VLOOKUP(A195,EQUIPEMENTS!A:D,4,0),""))</f>
        <v/>
      </c>
      <c r="D195" s="87">
        <f>IF(A195="","",IFERROR(VLOOKUP(A195,EQUIPEMENTS!A:M,13,0),""))</f>
        <v/>
      </c>
      <c r="E195" s="87">
        <f>IF(A195="","",COUNTIFS(MAINT_PREV!B:B,A195,MAINT_PREV!G:G,"Planifiée",MAINT_PREV!E:E,"&lt;"&amp;TODAY(),MAINT_PREV!H:H,""))</f>
        <v/>
      </c>
      <c r="F195" s="87">
        <f>IF(A195="","",COUNTIFS(INTERVENTIONS!B:B,A195,INTERVENTIONS!L:L,"Ouverte"))</f>
        <v/>
      </c>
      <c r="G195" s="87">
        <f>IF(A195="","",COUNTIFS(COMPOSANTS!B:B,A195,COMPOSANTS!G:G,"Défectueux"))</f>
        <v/>
      </c>
      <c r="H195" s="87">
        <f>IF(A195="","",IFERROR(VLOOKUP(A195,EQUIPEMENTS!A:R,18,0),""))</f>
        <v/>
      </c>
      <c r="I195" s="87">
        <f>IF(A195="","",IF(AND(C195="Haute",D195="En panne"),"🔴 CRITIQUE",IF(OR(E195&gt;0,F195&gt;0,G195&gt;0),"🟠 ATTENTION","🟢 OK")))</f>
        <v/>
      </c>
      <c r="J195" s="87">
        <f>IF(A195="","",IFERROR(VLOOKUP(A195,EQUIPEMENTS!A:Q,17,0),""))</f>
        <v/>
      </c>
      <c r="K195" s="87" t="n"/>
    </row>
    <row r="196" ht="15" customHeight="1" s="59">
      <c r="A196" s="84">
        <f>IFERROR(EQUIPEMENTS!A196,"")</f>
        <v/>
      </c>
      <c r="B196" s="84">
        <f>IF(A196="","",IFERROR(VLOOKUP(A196,EQUIPEMENTS!A:B,2,0),""))</f>
        <v/>
      </c>
      <c r="C196" s="84">
        <f>IF(A196="","",IFERROR(VLOOKUP(A196,EQUIPEMENTS!A:D,4,0),""))</f>
        <v/>
      </c>
      <c r="D196" s="84">
        <f>IF(A196="","",IFERROR(VLOOKUP(A196,EQUIPEMENTS!A:M,13,0),""))</f>
        <v/>
      </c>
      <c r="E196" s="84">
        <f>IF(A196="","",COUNTIFS(MAINT_PREV!B:B,A196,MAINT_PREV!G:G,"Planifiée",MAINT_PREV!E:E,"&lt;"&amp;TODAY(),MAINT_PREV!H:H,""))</f>
        <v/>
      </c>
      <c r="F196" s="84">
        <f>IF(A196="","",COUNTIFS(INTERVENTIONS!B:B,A196,INTERVENTIONS!L:L,"Ouverte"))</f>
        <v/>
      </c>
      <c r="G196" s="84">
        <f>IF(A196="","",COUNTIFS(COMPOSANTS!B:B,A196,COMPOSANTS!G:G,"Défectueux"))</f>
        <v/>
      </c>
      <c r="H196" s="84">
        <f>IF(A196="","",IFERROR(VLOOKUP(A196,EQUIPEMENTS!A:R,18,0),""))</f>
        <v/>
      </c>
      <c r="I196" s="84">
        <f>IF(A196="","",IF(AND(C196="Haute",D196="En panne"),"🔴 CRITIQUE",IF(OR(E196&gt;0,F196&gt;0,G196&gt;0),"🟠 ATTENTION","🟢 OK")))</f>
        <v/>
      </c>
      <c r="J196" s="84">
        <f>IF(A196="","",IFERROR(VLOOKUP(A196,EQUIPEMENTS!A:Q,17,0),""))</f>
        <v/>
      </c>
      <c r="K196" s="84" t="n"/>
    </row>
    <row r="197" ht="15" customHeight="1" s="59">
      <c r="A197" s="87">
        <f>IFERROR(EQUIPEMENTS!A197,"")</f>
        <v/>
      </c>
      <c r="B197" s="87">
        <f>IF(A197="","",IFERROR(VLOOKUP(A197,EQUIPEMENTS!A:B,2,0),""))</f>
        <v/>
      </c>
      <c r="C197" s="87">
        <f>IF(A197="","",IFERROR(VLOOKUP(A197,EQUIPEMENTS!A:D,4,0),""))</f>
        <v/>
      </c>
      <c r="D197" s="87">
        <f>IF(A197="","",IFERROR(VLOOKUP(A197,EQUIPEMENTS!A:M,13,0),""))</f>
        <v/>
      </c>
      <c r="E197" s="87">
        <f>IF(A197="","",COUNTIFS(MAINT_PREV!B:B,A197,MAINT_PREV!G:G,"Planifiée",MAINT_PREV!E:E,"&lt;"&amp;TODAY(),MAINT_PREV!H:H,""))</f>
        <v/>
      </c>
      <c r="F197" s="87">
        <f>IF(A197="","",COUNTIFS(INTERVENTIONS!B:B,A197,INTERVENTIONS!L:L,"Ouverte"))</f>
        <v/>
      </c>
      <c r="G197" s="87">
        <f>IF(A197="","",COUNTIFS(COMPOSANTS!B:B,A197,COMPOSANTS!G:G,"Défectueux"))</f>
        <v/>
      </c>
      <c r="H197" s="87">
        <f>IF(A197="","",IFERROR(VLOOKUP(A197,EQUIPEMENTS!A:R,18,0),""))</f>
        <v/>
      </c>
      <c r="I197" s="87">
        <f>IF(A197="","",IF(AND(C197="Haute",D197="En panne"),"🔴 CRITIQUE",IF(OR(E197&gt;0,F197&gt;0,G197&gt;0),"🟠 ATTENTION","🟢 OK")))</f>
        <v/>
      </c>
      <c r="J197" s="87">
        <f>IF(A197="","",IFERROR(VLOOKUP(A197,EQUIPEMENTS!A:Q,17,0),""))</f>
        <v/>
      </c>
      <c r="K197" s="87" t="n"/>
    </row>
    <row r="198" ht="15" customHeight="1" s="59">
      <c r="A198" s="84">
        <f>IFERROR(EQUIPEMENTS!A198,"")</f>
        <v/>
      </c>
      <c r="B198" s="84">
        <f>IF(A198="","",IFERROR(VLOOKUP(A198,EQUIPEMENTS!A:B,2,0),""))</f>
        <v/>
      </c>
      <c r="C198" s="84">
        <f>IF(A198="","",IFERROR(VLOOKUP(A198,EQUIPEMENTS!A:D,4,0),""))</f>
        <v/>
      </c>
      <c r="D198" s="84">
        <f>IF(A198="","",IFERROR(VLOOKUP(A198,EQUIPEMENTS!A:M,13,0),""))</f>
        <v/>
      </c>
      <c r="E198" s="84">
        <f>IF(A198="","",COUNTIFS(MAINT_PREV!B:B,A198,MAINT_PREV!G:G,"Planifiée",MAINT_PREV!E:E,"&lt;"&amp;TODAY(),MAINT_PREV!H:H,""))</f>
        <v/>
      </c>
      <c r="F198" s="84">
        <f>IF(A198="","",COUNTIFS(INTERVENTIONS!B:B,A198,INTERVENTIONS!L:L,"Ouverte"))</f>
        <v/>
      </c>
      <c r="G198" s="84">
        <f>IF(A198="","",COUNTIFS(COMPOSANTS!B:B,A198,COMPOSANTS!G:G,"Défectueux"))</f>
        <v/>
      </c>
      <c r="H198" s="84">
        <f>IF(A198="","",IFERROR(VLOOKUP(A198,EQUIPEMENTS!A:R,18,0),""))</f>
        <v/>
      </c>
      <c r="I198" s="84">
        <f>IF(A198="","",IF(AND(C198="Haute",D198="En panne"),"🔴 CRITIQUE",IF(OR(E198&gt;0,F198&gt;0,G198&gt;0),"🟠 ATTENTION","🟢 OK")))</f>
        <v/>
      </c>
      <c r="J198" s="84">
        <f>IF(A198="","",IFERROR(VLOOKUP(A198,EQUIPEMENTS!A:Q,17,0),""))</f>
        <v/>
      </c>
      <c r="K198" s="84" t="n"/>
    </row>
    <row r="199" ht="15" customHeight="1" s="59">
      <c r="A199" s="87">
        <f>IFERROR(EQUIPEMENTS!A199,"")</f>
        <v/>
      </c>
      <c r="B199" s="87">
        <f>IF(A199="","",IFERROR(VLOOKUP(A199,EQUIPEMENTS!A:B,2,0),""))</f>
        <v/>
      </c>
      <c r="C199" s="87">
        <f>IF(A199="","",IFERROR(VLOOKUP(A199,EQUIPEMENTS!A:D,4,0),""))</f>
        <v/>
      </c>
      <c r="D199" s="87">
        <f>IF(A199="","",IFERROR(VLOOKUP(A199,EQUIPEMENTS!A:M,13,0),""))</f>
        <v/>
      </c>
      <c r="E199" s="87">
        <f>IF(A199="","",COUNTIFS(MAINT_PREV!B:B,A199,MAINT_PREV!G:G,"Planifiée",MAINT_PREV!E:E,"&lt;"&amp;TODAY(),MAINT_PREV!H:H,""))</f>
        <v/>
      </c>
      <c r="F199" s="87">
        <f>IF(A199="","",COUNTIFS(INTERVENTIONS!B:B,A199,INTERVENTIONS!L:L,"Ouverte"))</f>
        <v/>
      </c>
      <c r="G199" s="87">
        <f>IF(A199="","",COUNTIFS(COMPOSANTS!B:B,A199,COMPOSANTS!G:G,"Défectueux"))</f>
        <v/>
      </c>
      <c r="H199" s="87">
        <f>IF(A199="","",IFERROR(VLOOKUP(A199,EQUIPEMENTS!A:R,18,0),""))</f>
        <v/>
      </c>
      <c r="I199" s="87">
        <f>IF(A199="","",IF(AND(C199="Haute",D199="En panne"),"🔴 CRITIQUE",IF(OR(E199&gt;0,F199&gt;0,G199&gt;0),"🟠 ATTENTION","🟢 OK")))</f>
        <v/>
      </c>
      <c r="J199" s="87">
        <f>IF(A199="","",IFERROR(VLOOKUP(A199,EQUIPEMENTS!A:Q,17,0),""))</f>
        <v/>
      </c>
      <c r="K199" s="87" t="n"/>
    </row>
    <row r="200" ht="15" customHeight="1" s="59">
      <c r="A200" s="84">
        <f>IFERROR(EQUIPEMENTS!A200,"")</f>
        <v/>
      </c>
      <c r="B200" s="84">
        <f>IF(A200="","",IFERROR(VLOOKUP(A200,EQUIPEMENTS!A:B,2,0),""))</f>
        <v/>
      </c>
      <c r="C200" s="84">
        <f>IF(A200="","",IFERROR(VLOOKUP(A200,EQUIPEMENTS!A:D,4,0),""))</f>
        <v/>
      </c>
      <c r="D200" s="84">
        <f>IF(A200="","",IFERROR(VLOOKUP(A200,EQUIPEMENTS!A:M,13,0),""))</f>
        <v/>
      </c>
      <c r="E200" s="84">
        <f>IF(A200="","",COUNTIFS(MAINT_PREV!B:B,A200,MAINT_PREV!G:G,"Planifiée",MAINT_PREV!E:E,"&lt;"&amp;TODAY(),MAINT_PREV!H:H,""))</f>
        <v/>
      </c>
      <c r="F200" s="84">
        <f>IF(A200="","",COUNTIFS(INTERVENTIONS!B:B,A200,INTERVENTIONS!L:L,"Ouverte"))</f>
        <v/>
      </c>
      <c r="G200" s="84">
        <f>IF(A200="","",COUNTIFS(COMPOSANTS!B:B,A200,COMPOSANTS!G:G,"Défectueux"))</f>
        <v/>
      </c>
      <c r="H200" s="84">
        <f>IF(A200="","",IFERROR(VLOOKUP(A200,EQUIPEMENTS!A:R,18,0),""))</f>
        <v/>
      </c>
      <c r="I200" s="84">
        <f>IF(A200="","",IF(AND(C200="Haute",D200="En panne"),"🔴 CRITIQUE",IF(OR(E200&gt;0,F200&gt;0,G200&gt;0),"🟠 ATTENTION","🟢 OK")))</f>
        <v/>
      </c>
      <c r="J200" s="84">
        <f>IF(A200="","",IFERROR(VLOOKUP(A200,EQUIPEMENTS!A:Q,17,0),""))</f>
        <v/>
      </c>
      <c r="K200" s="84" t="n"/>
    </row>
    <row r="201" ht="15" customHeight="1" s="59">
      <c r="A201" s="87">
        <f>IFERROR(EQUIPEMENTS!A201,"")</f>
        <v/>
      </c>
      <c r="B201" s="87">
        <f>IF(A201="","",IFERROR(VLOOKUP(A201,EQUIPEMENTS!A:B,2,0),""))</f>
        <v/>
      </c>
      <c r="C201" s="87">
        <f>IF(A201="","",IFERROR(VLOOKUP(A201,EQUIPEMENTS!A:D,4,0),""))</f>
        <v/>
      </c>
      <c r="D201" s="87">
        <f>IF(A201="","",IFERROR(VLOOKUP(A201,EQUIPEMENTS!A:M,13,0),""))</f>
        <v/>
      </c>
      <c r="E201" s="87">
        <f>IF(A201="","",COUNTIFS(MAINT_PREV!B:B,A201,MAINT_PREV!G:G,"Planifiée",MAINT_PREV!E:E,"&lt;"&amp;TODAY(),MAINT_PREV!H:H,""))</f>
        <v/>
      </c>
      <c r="F201" s="87">
        <f>IF(A201="","",COUNTIFS(INTERVENTIONS!B:B,A201,INTERVENTIONS!L:L,"Ouverte"))</f>
        <v/>
      </c>
      <c r="G201" s="87">
        <f>IF(A201="","",COUNTIFS(COMPOSANTS!B:B,A201,COMPOSANTS!G:G,"Défectueux"))</f>
        <v/>
      </c>
      <c r="H201" s="87">
        <f>IF(A201="","",IFERROR(VLOOKUP(A201,EQUIPEMENTS!A:R,18,0),""))</f>
        <v/>
      </c>
      <c r="I201" s="87">
        <f>IF(A201="","",IF(AND(C201="Haute",D201="En panne"),"🔴 CRITIQUE",IF(OR(E201&gt;0,F201&gt;0,G201&gt;0),"🟠 ATTENTION","🟢 OK")))</f>
        <v/>
      </c>
      <c r="J201" s="87">
        <f>IF(A201="","",IFERROR(VLOOKUP(A201,EQUIPEMENTS!A:Q,17,0),""))</f>
        <v/>
      </c>
      <c r="K201" s="87" t="n"/>
    </row>
    <row r="202" ht="15" customHeight="1" s="59">
      <c r="A202" s="84">
        <f>IFERROR(EQUIPEMENTS!A202,"")</f>
        <v/>
      </c>
      <c r="B202" s="84">
        <f>IF(A202="","",IFERROR(VLOOKUP(A202,EQUIPEMENTS!A:B,2,0),""))</f>
        <v/>
      </c>
      <c r="C202" s="84">
        <f>IF(A202="","",IFERROR(VLOOKUP(A202,EQUIPEMENTS!A:D,4,0),""))</f>
        <v/>
      </c>
      <c r="D202" s="84">
        <f>IF(A202="","",IFERROR(VLOOKUP(A202,EQUIPEMENTS!A:M,13,0),""))</f>
        <v/>
      </c>
      <c r="E202" s="84">
        <f>IF(A202="","",COUNTIFS(MAINT_PREV!B:B,A202,MAINT_PREV!G:G,"Planifiée",MAINT_PREV!E:E,"&lt;"&amp;TODAY(),MAINT_PREV!H:H,""))</f>
        <v/>
      </c>
      <c r="F202" s="84">
        <f>IF(A202="","",COUNTIFS(INTERVENTIONS!B:B,A202,INTERVENTIONS!L:L,"Ouverte"))</f>
        <v/>
      </c>
      <c r="G202" s="84">
        <f>IF(A202="","",COUNTIFS(COMPOSANTS!B:B,A202,COMPOSANTS!G:G,"Défectueux"))</f>
        <v/>
      </c>
      <c r="H202" s="84">
        <f>IF(A202="","",IFERROR(VLOOKUP(A202,EQUIPEMENTS!A:R,18,0),""))</f>
        <v/>
      </c>
      <c r="I202" s="84">
        <f>IF(A202="","",IF(AND(C202="Haute",D202="En panne"),"🔴 CRITIQUE",IF(OR(E202&gt;0,F202&gt;0,G202&gt;0),"🟠 ATTENTION","🟢 OK")))</f>
        <v/>
      </c>
      <c r="J202" s="84">
        <f>IF(A202="","",IFERROR(VLOOKUP(A202,EQUIPEMENTS!A:Q,17,0),""))</f>
        <v/>
      </c>
      <c r="K202" s="84" t="n"/>
    </row>
    <row r="203" ht="15" customHeight="1" s="59">
      <c r="A203" s="87">
        <f>IFERROR(EQUIPEMENTS!A203,"")</f>
        <v/>
      </c>
      <c r="B203" s="87">
        <f>IF(A203="","",IFERROR(VLOOKUP(A203,EQUIPEMENTS!A:B,2,0),""))</f>
        <v/>
      </c>
      <c r="C203" s="87">
        <f>IF(A203="","",IFERROR(VLOOKUP(A203,EQUIPEMENTS!A:D,4,0),""))</f>
        <v/>
      </c>
      <c r="D203" s="87">
        <f>IF(A203="","",IFERROR(VLOOKUP(A203,EQUIPEMENTS!A:M,13,0),""))</f>
        <v/>
      </c>
      <c r="E203" s="87">
        <f>IF(A203="","",COUNTIFS(MAINT_PREV!B:B,A203,MAINT_PREV!G:G,"Planifiée",MAINT_PREV!E:E,"&lt;"&amp;TODAY(),MAINT_PREV!H:H,""))</f>
        <v/>
      </c>
      <c r="F203" s="87">
        <f>IF(A203="","",COUNTIFS(INTERVENTIONS!B:B,A203,INTERVENTIONS!L:L,"Ouverte"))</f>
        <v/>
      </c>
      <c r="G203" s="87">
        <f>IF(A203="","",COUNTIFS(COMPOSANTS!B:B,A203,COMPOSANTS!G:G,"Défectueux"))</f>
        <v/>
      </c>
      <c r="H203" s="87">
        <f>IF(A203="","",IFERROR(VLOOKUP(A203,EQUIPEMENTS!A:R,18,0),""))</f>
        <v/>
      </c>
      <c r="I203" s="87">
        <f>IF(A203="","",IF(AND(C203="Haute",D203="En panne"),"🔴 CRITIQUE",IF(OR(E203&gt;0,F203&gt;0,G203&gt;0),"🟠 ATTENTION","🟢 OK")))</f>
        <v/>
      </c>
      <c r="J203" s="87">
        <f>IF(A203="","",IFERROR(VLOOKUP(A203,EQUIPEMENTS!A:Q,17,0),""))</f>
        <v/>
      </c>
      <c r="K203" s="87" t="n"/>
    </row>
    <row r="204" ht="15" customHeight="1" s="59">
      <c r="A204" s="84">
        <f>IFERROR(EQUIPEMENTS!A204,"")</f>
        <v/>
      </c>
      <c r="B204" s="84">
        <f>IF(A204="","",IFERROR(VLOOKUP(A204,EQUIPEMENTS!A:B,2,0),""))</f>
        <v/>
      </c>
      <c r="C204" s="84">
        <f>IF(A204="","",IFERROR(VLOOKUP(A204,EQUIPEMENTS!A:D,4,0),""))</f>
        <v/>
      </c>
      <c r="D204" s="84">
        <f>IF(A204="","",IFERROR(VLOOKUP(A204,EQUIPEMENTS!A:M,13,0),""))</f>
        <v/>
      </c>
      <c r="E204" s="84">
        <f>IF(A204="","",COUNTIFS(MAINT_PREV!B:B,A204,MAINT_PREV!G:G,"Planifiée",MAINT_PREV!E:E,"&lt;"&amp;TODAY(),MAINT_PREV!H:H,""))</f>
        <v/>
      </c>
      <c r="F204" s="84">
        <f>IF(A204="","",COUNTIFS(INTERVENTIONS!B:B,A204,INTERVENTIONS!L:L,"Ouverte"))</f>
        <v/>
      </c>
      <c r="G204" s="84">
        <f>IF(A204="","",COUNTIFS(COMPOSANTS!B:B,A204,COMPOSANTS!G:G,"Défectueux"))</f>
        <v/>
      </c>
      <c r="H204" s="84">
        <f>IF(A204="","",IFERROR(VLOOKUP(A204,EQUIPEMENTS!A:R,18,0),""))</f>
        <v/>
      </c>
      <c r="I204" s="84">
        <f>IF(A204="","",IF(AND(C204="Haute",D204="En panne"),"🔴 CRITIQUE",IF(OR(E204&gt;0,F204&gt;0,G204&gt;0),"🟠 ATTENTION","🟢 OK")))</f>
        <v/>
      </c>
      <c r="J204" s="84">
        <f>IF(A204="","",IFERROR(VLOOKUP(A204,EQUIPEMENTS!A:Q,17,0),""))</f>
        <v/>
      </c>
      <c r="K204" s="84" t="n"/>
    </row>
    <row r="205" ht="15" customHeight="1" s="59">
      <c r="A205" s="87">
        <f>IFERROR(EQUIPEMENTS!A205,"")</f>
        <v/>
      </c>
      <c r="B205" s="87">
        <f>IF(A205="","",IFERROR(VLOOKUP(A205,EQUIPEMENTS!A:B,2,0),""))</f>
        <v/>
      </c>
      <c r="C205" s="87">
        <f>IF(A205="","",IFERROR(VLOOKUP(A205,EQUIPEMENTS!A:D,4,0),""))</f>
        <v/>
      </c>
      <c r="D205" s="87">
        <f>IF(A205="","",IFERROR(VLOOKUP(A205,EQUIPEMENTS!A:M,13,0),""))</f>
        <v/>
      </c>
      <c r="E205" s="87">
        <f>IF(A205="","",COUNTIFS(MAINT_PREV!B:B,A205,MAINT_PREV!G:G,"Planifiée",MAINT_PREV!E:E,"&lt;"&amp;TODAY(),MAINT_PREV!H:H,""))</f>
        <v/>
      </c>
      <c r="F205" s="87">
        <f>IF(A205="","",COUNTIFS(INTERVENTIONS!B:B,A205,INTERVENTIONS!L:L,"Ouverte"))</f>
        <v/>
      </c>
      <c r="G205" s="87">
        <f>IF(A205="","",COUNTIFS(COMPOSANTS!B:B,A205,COMPOSANTS!G:G,"Défectueux"))</f>
        <v/>
      </c>
      <c r="H205" s="87">
        <f>IF(A205="","",IFERROR(VLOOKUP(A205,EQUIPEMENTS!A:R,18,0),""))</f>
        <v/>
      </c>
      <c r="I205" s="87">
        <f>IF(A205="","",IF(AND(C205="Haute",D205="En panne"),"🔴 CRITIQUE",IF(OR(E205&gt;0,F205&gt;0,G205&gt;0),"🟠 ATTENTION","🟢 OK")))</f>
        <v/>
      </c>
      <c r="J205" s="87">
        <f>IF(A205="","",IFERROR(VLOOKUP(A205,EQUIPEMENTS!A:Q,17,0),""))</f>
        <v/>
      </c>
      <c r="K205" s="87" t="n"/>
    </row>
    <row r="206" ht="15" customHeight="1" s="59">
      <c r="A206" s="84">
        <f>IFERROR(EQUIPEMENTS!A206,"")</f>
        <v/>
      </c>
      <c r="B206" s="84">
        <f>IF(A206="","",IFERROR(VLOOKUP(A206,EQUIPEMENTS!A:B,2,0),""))</f>
        <v/>
      </c>
      <c r="C206" s="84">
        <f>IF(A206="","",IFERROR(VLOOKUP(A206,EQUIPEMENTS!A:D,4,0),""))</f>
        <v/>
      </c>
      <c r="D206" s="84">
        <f>IF(A206="","",IFERROR(VLOOKUP(A206,EQUIPEMENTS!A:M,13,0),""))</f>
        <v/>
      </c>
      <c r="E206" s="84">
        <f>IF(A206="","",COUNTIFS(MAINT_PREV!B:B,A206,MAINT_PREV!G:G,"Planifiée",MAINT_PREV!E:E,"&lt;"&amp;TODAY(),MAINT_PREV!H:H,""))</f>
        <v/>
      </c>
      <c r="F206" s="84">
        <f>IF(A206="","",COUNTIFS(INTERVENTIONS!B:B,A206,INTERVENTIONS!L:L,"Ouverte"))</f>
        <v/>
      </c>
      <c r="G206" s="84">
        <f>IF(A206="","",COUNTIFS(COMPOSANTS!B:B,A206,COMPOSANTS!G:G,"Défectueux"))</f>
        <v/>
      </c>
      <c r="H206" s="84">
        <f>IF(A206="","",IFERROR(VLOOKUP(A206,EQUIPEMENTS!A:R,18,0),""))</f>
        <v/>
      </c>
      <c r="I206" s="84">
        <f>IF(A206="","",IF(AND(C206="Haute",D206="En panne"),"🔴 CRITIQUE",IF(OR(E206&gt;0,F206&gt;0,G206&gt;0),"🟠 ATTENTION","🟢 OK")))</f>
        <v/>
      </c>
      <c r="J206" s="84">
        <f>IF(A206="","",IFERROR(VLOOKUP(A206,EQUIPEMENTS!A:Q,17,0),""))</f>
        <v/>
      </c>
      <c r="K206" s="84" t="n"/>
    </row>
    <row r="207" ht="15" customHeight="1" s="59">
      <c r="A207" s="87">
        <f>IFERROR(EQUIPEMENTS!A207,"")</f>
        <v/>
      </c>
      <c r="B207" s="87">
        <f>IF(A207="","",IFERROR(VLOOKUP(A207,EQUIPEMENTS!A:B,2,0),""))</f>
        <v/>
      </c>
      <c r="C207" s="87">
        <f>IF(A207="","",IFERROR(VLOOKUP(A207,EQUIPEMENTS!A:D,4,0),""))</f>
        <v/>
      </c>
      <c r="D207" s="87">
        <f>IF(A207="","",IFERROR(VLOOKUP(A207,EQUIPEMENTS!A:M,13,0),""))</f>
        <v/>
      </c>
      <c r="E207" s="87">
        <f>IF(A207="","",COUNTIFS(MAINT_PREV!B:B,A207,MAINT_PREV!G:G,"Planifiée",MAINT_PREV!E:E,"&lt;"&amp;TODAY(),MAINT_PREV!H:H,""))</f>
        <v/>
      </c>
      <c r="F207" s="87">
        <f>IF(A207="","",COUNTIFS(INTERVENTIONS!B:B,A207,INTERVENTIONS!L:L,"Ouverte"))</f>
        <v/>
      </c>
      <c r="G207" s="87">
        <f>IF(A207="","",COUNTIFS(COMPOSANTS!B:B,A207,COMPOSANTS!G:G,"Défectueux"))</f>
        <v/>
      </c>
      <c r="H207" s="87">
        <f>IF(A207="","",IFERROR(VLOOKUP(A207,EQUIPEMENTS!A:R,18,0),""))</f>
        <v/>
      </c>
      <c r="I207" s="87">
        <f>IF(A207="","",IF(AND(C207="Haute",D207="En panne"),"🔴 CRITIQUE",IF(OR(E207&gt;0,F207&gt;0,G207&gt;0),"🟠 ATTENTION","🟢 OK")))</f>
        <v/>
      </c>
      <c r="J207" s="87">
        <f>IF(A207="","",IFERROR(VLOOKUP(A207,EQUIPEMENTS!A:Q,17,0),""))</f>
        <v/>
      </c>
      <c r="K207" s="87" t="n"/>
    </row>
    <row r="208" ht="15" customHeight="1" s="59">
      <c r="A208" s="84">
        <f>IFERROR(EQUIPEMENTS!A208,"")</f>
        <v/>
      </c>
      <c r="B208" s="84">
        <f>IF(A208="","",IFERROR(VLOOKUP(A208,EQUIPEMENTS!A:B,2,0),""))</f>
        <v/>
      </c>
      <c r="C208" s="84">
        <f>IF(A208="","",IFERROR(VLOOKUP(A208,EQUIPEMENTS!A:D,4,0),""))</f>
        <v/>
      </c>
      <c r="D208" s="84">
        <f>IF(A208="","",IFERROR(VLOOKUP(A208,EQUIPEMENTS!A:M,13,0),""))</f>
        <v/>
      </c>
      <c r="E208" s="84">
        <f>IF(A208="","",COUNTIFS(MAINT_PREV!B:B,A208,MAINT_PREV!G:G,"Planifiée",MAINT_PREV!E:E,"&lt;"&amp;TODAY(),MAINT_PREV!H:H,""))</f>
        <v/>
      </c>
      <c r="F208" s="84">
        <f>IF(A208="","",COUNTIFS(INTERVENTIONS!B:B,A208,INTERVENTIONS!L:L,"Ouverte"))</f>
        <v/>
      </c>
      <c r="G208" s="84">
        <f>IF(A208="","",COUNTIFS(COMPOSANTS!B:B,A208,COMPOSANTS!G:G,"Défectueux"))</f>
        <v/>
      </c>
      <c r="H208" s="84">
        <f>IF(A208="","",IFERROR(VLOOKUP(A208,EQUIPEMENTS!A:R,18,0),""))</f>
        <v/>
      </c>
      <c r="I208" s="84">
        <f>IF(A208="","",IF(AND(C208="Haute",D208="En panne"),"🔴 CRITIQUE",IF(OR(E208&gt;0,F208&gt;0,G208&gt;0),"🟠 ATTENTION","🟢 OK")))</f>
        <v/>
      </c>
      <c r="J208" s="84">
        <f>IF(A208="","",IFERROR(VLOOKUP(A208,EQUIPEMENTS!A:Q,17,0),""))</f>
        <v/>
      </c>
      <c r="K208" s="84" t="n"/>
    </row>
    <row r="209" ht="15" customHeight="1" s="59">
      <c r="A209" s="87">
        <f>IFERROR(EQUIPEMENTS!A209,"")</f>
        <v/>
      </c>
      <c r="B209" s="87">
        <f>IF(A209="","",IFERROR(VLOOKUP(A209,EQUIPEMENTS!A:B,2,0),""))</f>
        <v/>
      </c>
      <c r="C209" s="87">
        <f>IF(A209="","",IFERROR(VLOOKUP(A209,EQUIPEMENTS!A:D,4,0),""))</f>
        <v/>
      </c>
      <c r="D209" s="87">
        <f>IF(A209="","",IFERROR(VLOOKUP(A209,EQUIPEMENTS!A:M,13,0),""))</f>
        <v/>
      </c>
      <c r="E209" s="87">
        <f>IF(A209="","",COUNTIFS(MAINT_PREV!B:B,A209,MAINT_PREV!G:G,"Planifiée",MAINT_PREV!E:E,"&lt;"&amp;TODAY(),MAINT_PREV!H:H,""))</f>
        <v/>
      </c>
      <c r="F209" s="87">
        <f>IF(A209="","",COUNTIFS(INTERVENTIONS!B:B,A209,INTERVENTIONS!L:L,"Ouverte"))</f>
        <v/>
      </c>
      <c r="G209" s="87">
        <f>IF(A209="","",COUNTIFS(COMPOSANTS!B:B,A209,COMPOSANTS!G:G,"Défectueux"))</f>
        <v/>
      </c>
      <c r="H209" s="87">
        <f>IF(A209="","",IFERROR(VLOOKUP(A209,EQUIPEMENTS!A:R,18,0),""))</f>
        <v/>
      </c>
      <c r="I209" s="87">
        <f>IF(A209="","",IF(AND(C209="Haute",D209="En panne"),"🔴 CRITIQUE",IF(OR(E209&gt;0,F209&gt;0,G209&gt;0),"🟠 ATTENTION","🟢 OK")))</f>
        <v/>
      </c>
      <c r="J209" s="87">
        <f>IF(A209="","",IFERROR(VLOOKUP(A209,EQUIPEMENTS!A:Q,17,0),""))</f>
        <v/>
      </c>
      <c r="K209" s="87" t="n"/>
    </row>
    <row r="210" ht="15" customHeight="1" s="59">
      <c r="A210" s="84">
        <f>IFERROR(EQUIPEMENTS!A210,"")</f>
        <v/>
      </c>
      <c r="B210" s="84">
        <f>IF(A210="","",IFERROR(VLOOKUP(A210,EQUIPEMENTS!A:B,2,0),""))</f>
        <v/>
      </c>
      <c r="C210" s="84">
        <f>IF(A210="","",IFERROR(VLOOKUP(A210,EQUIPEMENTS!A:D,4,0),""))</f>
        <v/>
      </c>
      <c r="D210" s="84">
        <f>IF(A210="","",IFERROR(VLOOKUP(A210,EQUIPEMENTS!A:M,13,0),""))</f>
        <v/>
      </c>
      <c r="E210" s="84">
        <f>IF(A210="","",COUNTIFS(MAINT_PREV!B:B,A210,MAINT_PREV!G:G,"Planifiée",MAINT_PREV!E:E,"&lt;"&amp;TODAY(),MAINT_PREV!H:H,""))</f>
        <v/>
      </c>
      <c r="F210" s="84">
        <f>IF(A210="","",COUNTIFS(INTERVENTIONS!B:B,A210,INTERVENTIONS!L:L,"Ouverte"))</f>
        <v/>
      </c>
      <c r="G210" s="84">
        <f>IF(A210="","",COUNTIFS(COMPOSANTS!B:B,A210,COMPOSANTS!G:G,"Défectueux"))</f>
        <v/>
      </c>
      <c r="H210" s="84">
        <f>IF(A210="","",IFERROR(VLOOKUP(A210,EQUIPEMENTS!A:R,18,0),""))</f>
        <v/>
      </c>
      <c r="I210" s="84">
        <f>IF(A210="","",IF(AND(C210="Haute",D210="En panne"),"🔴 CRITIQUE",IF(OR(E210&gt;0,F210&gt;0,G210&gt;0),"🟠 ATTENTION","🟢 OK")))</f>
        <v/>
      </c>
      <c r="J210" s="84">
        <f>IF(A210="","",IFERROR(VLOOKUP(A210,EQUIPEMENTS!A:Q,17,0),""))</f>
        <v/>
      </c>
      <c r="K210" s="84" t="n"/>
    </row>
    <row r="211" ht="15" customHeight="1" s="59">
      <c r="A211" s="87">
        <f>IFERROR(EQUIPEMENTS!A211,"")</f>
        <v/>
      </c>
      <c r="B211" s="87">
        <f>IF(A211="","",IFERROR(VLOOKUP(A211,EQUIPEMENTS!A:B,2,0),""))</f>
        <v/>
      </c>
      <c r="C211" s="87">
        <f>IF(A211="","",IFERROR(VLOOKUP(A211,EQUIPEMENTS!A:D,4,0),""))</f>
        <v/>
      </c>
      <c r="D211" s="87">
        <f>IF(A211="","",IFERROR(VLOOKUP(A211,EQUIPEMENTS!A:M,13,0),""))</f>
        <v/>
      </c>
      <c r="E211" s="87">
        <f>IF(A211="","",COUNTIFS(MAINT_PREV!B:B,A211,MAINT_PREV!G:G,"Planifiée",MAINT_PREV!E:E,"&lt;"&amp;TODAY(),MAINT_PREV!H:H,""))</f>
        <v/>
      </c>
      <c r="F211" s="87">
        <f>IF(A211="","",COUNTIFS(INTERVENTIONS!B:B,A211,INTERVENTIONS!L:L,"Ouverte"))</f>
        <v/>
      </c>
      <c r="G211" s="87">
        <f>IF(A211="","",COUNTIFS(COMPOSANTS!B:B,A211,COMPOSANTS!G:G,"Défectueux"))</f>
        <v/>
      </c>
      <c r="H211" s="87">
        <f>IF(A211="","",IFERROR(VLOOKUP(A211,EQUIPEMENTS!A:R,18,0),""))</f>
        <v/>
      </c>
      <c r="I211" s="87">
        <f>IF(A211="","",IF(AND(C211="Haute",D211="En panne"),"🔴 CRITIQUE",IF(OR(E211&gt;0,F211&gt;0,G211&gt;0),"🟠 ATTENTION","🟢 OK")))</f>
        <v/>
      </c>
      <c r="J211" s="87">
        <f>IF(A211="","",IFERROR(VLOOKUP(A211,EQUIPEMENTS!A:Q,17,0),""))</f>
        <v/>
      </c>
      <c r="K211" s="87" t="n"/>
    </row>
    <row r="212" ht="15" customHeight="1" s="59">
      <c r="A212" s="84">
        <f>IFERROR(EQUIPEMENTS!A212,"")</f>
        <v/>
      </c>
      <c r="B212" s="84">
        <f>IF(A212="","",IFERROR(VLOOKUP(A212,EQUIPEMENTS!A:B,2,0),""))</f>
        <v/>
      </c>
      <c r="C212" s="84">
        <f>IF(A212="","",IFERROR(VLOOKUP(A212,EQUIPEMENTS!A:D,4,0),""))</f>
        <v/>
      </c>
      <c r="D212" s="84">
        <f>IF(A212="","",IFERROR(VLOOKUP(A212,EQUIPEMENTS!A:M,13,0),""))</f>
        <v/>
      </c>
      <c r="E212" s="84">
        <f>IF(A212="","",COUNTIFS(MAINT_PREV!B:B,A212,MAINT_PREV!G:G,"Planifiée",MAINT_PREV!E:E,"&lt;"&amp;TODAY(),MAINT_PREV!H:H,""))</f>
        <v/>
      </c>
      <c r="F212" s="84">
        <f>IF(A212="","",COUNTIFS(INTERVENTIONS!B:B,A212,INTERVENTIONS!L:L,"Ouverte"))</f>
        <v/>
      </c>
      <c r="G212" s="84">
        <f>IF(A212="","",COUNTIFS(COMPOSANTS!B:B,A212,COMPOSANTS!G:G,"Défectueux"))</f>
        <v/>
      </c>
      <c r="H212" s="84">
        <f>IF(A212="","",IFERROR(VLOOKUP(A212,EQUIPEMENTS!A:R,18,0),""))</f>
        <v/>
      </c>
      <c r="I212" s="84">
        <f>IF(A212="","",IF(AND(C212="Haute",D212="En panne"),"🔴 CRITIQUE",IF(OR(E212&gt;0,F212&gt;0,G212&gt;0),"🟠 ATTENTION","🟢 OK")))</f>
        <v/>
      </c>
      <c r="J212" s="84">
        <f>IF(A212="","",IFERROR(VLOOKUP(A212,EQUIPEMENTS!A:Q,17,0),""))</f>
        <v/>
      </c>
      <c r="K212" s="84" t="n"/>
    </row>
    <row r="213" ht="15" customHeight="1" s="59">
      <c r="A213" s="87">
        <f>IFERROR(EQUIPEMENTS!A213,"")</f>
        <v/>
      </c>
      <c r="B213" s="87">
        <f>IF(A213="","",IFERROR(VLOOKUP(A213,EQUIPEMENTS!A:B,2,0),""))</f>
        <v/>
      </c>
      <c r="C213" s="87">
        <f>IF(A213="","",IFERROR(VLOOKUP(A213,EQUIPEMENTS!A:D,4,0),""))</f>
        <v/>
      </c>
      <c r="D213" s="87">
        <f>IF(A213="","",IFERROR(VLOOKUP(A213,EQUIPEMENTS!A:M,13,0),""))</f>
        <v/>
      </c>
      <c r="E213" s="87">
        <f>IF(A213="","",COUNTIFS(MAINT_PREV!B:B,A213,MAINT_PREV!G:G,"Planifiée",MAINT_PREV!E:E,"&lt;"&amp;TODAY(),MAINT_PREV!H:H,""))</f>
        <v/>
      </c>
      <c r="F213" s="87">
        <f>IF(A213="","",COUNTIFS(INTERVENTIONS!B:B,A213,INTERVENTIONS!L:L,"Ouverte"))</f>
        <v/>
      </c>
      <c r="G213" s="87">
        <f>IF(A213="","",COUNTIFS(COMPOSANTS!B:B,A213,COMPOSANTS!G:G,"Défectueux"))</f>
        <v/>
      </c>
      <c r="H213" s="87">
        <f>IF(A213="","",IFERROR(VLOOKUP(A213,EQUIPEMENTS!A:R,18,0),""))</f>
        <v/>
      </c>
      <c r="I213" s="87">
        <f>IF(A213="","",IF(AND(C213="Haute",D213="En panne"),"🔴 CRITIQUE",IF(OR(E213&gt;0,F213&gt;0,G213&gt;0),"🟠 ATTENTION","🟢 OK")))</f>
        <v/>
      </c>
      <c r="J213" s="87">
        <f>IF(A213="","",IFERROR(VLOOKUP(A213,EQUIPEMENTS!A:Q,17,0),""))</f>
        <v/>
      </c>
      <c r="K213" s="87" t="n"/>
    </row>
    <row r="214" ht="15" customHeight="1" s="59">
      <c r="A214" s="84">
        <f>IFERROR(EQUIPEMENTS!A214,"")</f>
        <v/>
      </c>
      <c r="B214" s="84">
        <f>IF(A214="","",IFERROR(VLOOKUP(A214,EQUIPEMENTS!A:B,2,0),""))</f>
        <v/>
      </c>
      <c r="C214" s="84">
        <f>IF(A214="","",IFERROR(VLOOKUP(A214,EQUIPEMENTS!A:D,4,0),""))</f>
        <v/>
      </c>
      <c r="D214" s="84">
        <f>IF(A214="","",IFERROR(VLOOKUP(A214,EQUIPEMENTS!A:M,13,0),""))</f>
        <v/>
      </c>
      <c r="E214" s="84">
        <f>IF(A214="","",COUNTIFS(MAINT_PREV!B:B,A214,MAINT_PREV!G:G,"Planifiée",MAINT_PREV!E:E,"&lt;"&amp;TODAY(),MAINT_PREV!H:H,""))</f>
        <v/>
      </c>
      <c r="F214" s="84">
        <f>IF(A214="","",COUNTIFS(INTERVENTIONS!B:B,A214,INTERVENTIONS!L:L,"Ouverte"))</f>
        <v/>
      </c>
      <c r="G214" s="84">
        <f>IF(A214="","",COUNTIFS(COMPOSANTS!B:B,A214,COMPOSANTS!G:G,"Défectueux"))</f>
        <v/>
      </c>
      <c r="H214" s="84">
        <f>IF(A214="","",IFERROR(VLOOKUP(A214,EQUIPEMENTS!A:R,18,0),""))</f>
        <v/>
      </c>
      <c r="I214" s="84">
        <f>IF(A214="","",IF(AND(C214="Haute",D214="En panne"),"🔴 CRITIQUE",IF(OR(E214&gt;0,F214&gt;0,G214&gt;0),"🟠 ATTENTION","🟢 OK")))</f>
        <v/>
      </c>
      <c r="J214" s="84">
        <f>IF(A214="","",IFERROR(VLOOKUP(A214,EQUIPEMENTS!A:Q,17,0),""))</f>
        <v/>
      </c>
      <c r="K214" s="84" t="n"/>
    </row>
    <row r="215" ht="15" customHeight="1" s="59">
      <c r="A215" s="87">
        <f>IFERROR(EQUIPEMENTS!A215,"")</f>
        <v/>
      </c>
      <c r="B215" s="87">
        <f>IF(A215="","",IFERROR(VLOOKUP(A215,EQUIPEMENTS!A:B,2,0),""))</f>
        <v/>
      </c>
      <c r="C215" s="87">
        <f>IF(A215="","",IFERROR(VLOOKUP(A215,EQUIPEMENTS!A:D,4,0),""))</f>
        <v/>
      </c>
      <c r="D215" s="87">
        <f>IF(A215="","",IFERROR(VLOOKUP(A215,EQUIPEMENTS!A:M,13,0),""))</f>
        <v/>
      </c>
      <c r="E215" s="87">
        <f>IF(A215="","",COUNTIFS(MAINT_PREV!B:B,A215,MAINT_PREV!G:G,"Planifiée",MAINT_PREV!E:E,"&lt;"&amp;TODAY(),MAINT_PREV!H:H,""))</f>
        <v/>
      </c>
      <c r="F215" s="87">
        <f>IF(A215="","",COUNTIFS(INTERVENTIONS!B:B,A215,INTERVENTIONS!L:L,"Ouverte"))</f>
        <v/>
      </c>
      <c r="G215" s="87">
        <f>IF(A215="","",COUNTIFS(COMPOSANTS!B:B,A215,COMPOSANTS!G:G,"Défectueux"))</f>
        <v/>
      </c>
      <c r="H215" s="87">
        <f>IF(A215="","",IFERROR(VLOOKUP(A215,EQUIPEMENTS!A:R,18,0),""))</f>
        <v/>
      </c>
      <c r="I215" s="87">
        <f>IF(A215="","",IF(AND(C215="Haute",D215="En panne"),"🔴 CRITIQUE",IF(OR(E215&gt;0,F215&gt;0,G215&gt;0),"🟠 ATTENTION","🟢 OK")))</f>
        <v/>
      </c>
      <c r="J215" s="87">
        <f>IF(A215="","",IFERROR(VLOOKUP(A215,EQUIPEMENTS!A:Q,17,0),""))</f>
        <v/>
      </c>
      <c r="K215" s="87" t="n"/>
    </row>
    <row r="216" ht="15" customHeight="1" s="59">
      <c r="A216" s="84">
        <f>IFERROR(EQUIPEMENTS!A216,"")</f>
        <v/>
      </c>
      <c r="B216" s="84">
        <f>IF(A216="","",IFERROR(VLOOKUP(A216,EQUIPEMENTS!A:B,2,0),""))</f>
        <v/>
      </c>
      <c r="C216" s="84">
        <f>IF(A216="","",IFERROR(VLOOKUP(A216,EQUIPEMENTS!A:D,4,0),""))</f>
        <v/>
      </c>
      <c r="D216" s="84">
        <f>IF(A216="","",IFERROR(VLOOKUP(A216,EQUIPEMENTS!A:M,13,0),""))</f>
        <v/>
      </c>
      <c r="E216" s="84">
        <f>IF(A216="","",COUNTIFS(MAINT_PREV!B:B,A216,MAINT_PREV!G:G,"Planifiée",MAINT_PREV!E:E,"&lt;"&amp;TODAY(),MAINT_PREV!H:H,""))</f>
        <v/>
      </c>
      <c r="F216" s="84">
        <f>IF(A216="","",COUNTIFS(INTERVENTIONS!B:B,A216,INTERVENTIONS!L:L,"Ouverte"))</f>
        <v/>
      </c>
      <c r="G216" s="84">
        <f>IF(A216="","",COUNTIFS(COMPOSANTS!B:B,A216,COMPOSANTS!G:G,"Défectueux"))</f>
        <v/>
      </c>
      <c r="H216" s="84">
        <f>IF(A216="","",IFERROR(VLOOKUP(A216,EQUIPEMENTS!A:R,18,0),""))</f>
        <v/>
      </c>
      <c r="I216" s="84">
        <f>IF(A216="","",IF(AND(C216="Haute",D216="En panne"),"🔴 CRITIQUE",IF(OR(E216&gt;0,F216&gt;0,G216&gt;0),"🟠 ATTENTION","🟢 OK")))</f>
        <v/>
      </c>
      <c r="J216" s="84">
        <f>IF(A216="","",IFERROR(VLOOKUP(A216,EQUIPEMENTS!A:Q,17,0),""))</f>
        <v/>
      </c>
      <c r="K216" s="84" t="n"/>
    </row>
    <row r="217" ht="15" customHeight="1" s="59">
      <c r="A217" s="87">
        <f>IFERROR(EQUIPEMENTS!A217,"")</f>
        <v/>
      </c>
      <c r="B217" s="87">
        <f>IF(A217="","",IFERROR(VLOOKUP(A217,EQUIPEMENTS!A:B,2,0),""))</f>
        <v/>
      </c>
      <c r="C217" s="87">
        <f>IF(A217="","",IFERROR(VLOOKUP(A217,EQUIPEMENTS!A:D,4,0),""))</f>
        <v/>
      </c>
      <c r="D217" s="87">
        <f>IF(A217="","",IFERROR(VLOOKUP(A217,EQUIPEMENTS!A:M,13,0),""))</f>
        <v/>
      </c>
      <c r="E217" s="87">
        <f>IF(A217="","",COUNTIFS(MAINT_PREV!B:B,A217,MAINT_PREV!G:G,"Planifiée",MAINT_PREV!E:E,"&lt;"&amp;TODAY(),MAINT_PREV!H:H,""))</f>
        <v/>
      </c>
      <c r="F217" s="87">
        <f>IF(A217="","",COUNTIFS(INTERVENTIONS!B:B,A217,INTERVENTIONS!L:L,"Ouverte"))</f>
        <v/>
      </c>
      <c r="G217" s="87">
        <f>IF(A217="","",COUNTIFS(COMPOSANTS!B:B,A217,COMPOSANTS!G:G,"Défectueux"))</f>
        <v/>
      </c>
      <c r="H217" s="87">
        <f>IF(A217="","",IFERROR(VLOOKUP(A217,EQUIPEMENTS!A:R,18,0),""))</f>
        <v/>
      </c>
      <c r="I217" s="87">
        <f>IF(A217="","",IF(AND(C217="Haute",D217="En panne"),"🔴 CRITIQUE",IF(OR(E217&gt;0,F217&gt;0,G217&gt;0),"🟠 ATTENTION","🟢 OK")))</f>
        <v/>
      </c>
      <c r="J217" s="87">
        <f>IF(A217="","",IFERROR(VLOOKUP(A217,EQUIPEMENTS!A:Q,17,0),""))</f>
        <v/>
      </c>
      <c r="K217" s="87" t="n"/>
    </row>
    <row r="218" ht="15" customHeight="1" s="59">
      <c r="A218" s="84">
        <f>IFERROR(EQUIPEMENTS!A218,"")</f>
        <v/>
      </c>
      <c r="B218" s="84">
        <f>IF(A218="","",IFERROR(VLOOKUP(A218,EQUIPEMENTS!A:B,2,0),""))</f>
        <v/>
      </c>
      <c r="C218" s="84">
        <f>IF(A218="","",IFERROR(VLOOKUP(A218,EQUIPEMENTS!A:D,4,0),""))</f>
        <v/>
      </c>
      <c r="D218" s="84">
        <f>IF(A218="","",IFERROR(VLOOKUP(A218,EQUIPEMENTS!A:M,13,0),""))</f>
        <v/>
      </c>
      <c r="E218" s="84">
        <f>IF(A218="","",COUNTIFS(MAINT_PREV!B:B,A218,MAINT_PREV!G:G,"Planifiée",MAINT_PREV!E:E,"&lt;"&amp;TODAY(),MAINT_PREV!H:H,""))</f>
        <v/>
      </c>
      <c r="F218" s="84">
        <f>IF(A218="","",COUNTIFS(INTERVENTIONS!B:B,A218,INTERVENTIONS!L:L,"Ouverte"))</f>
        <v/>
      </c>
      <c r="G218" s="84">
        <f>IF(A218="","",COUNTIFS(COMPOSANTS!B:B,A218,COMPOSANTS!G:G,"Défectueux"))</f>
        <v/>
      </c>
      <c r="H218" s="84">
        <f>IF(A218="","",IFERROR(VLOOKUP(A218,EQUIPEMENTS!A:R,18,0),""))</f>
        <v/>
      </c>
      <c r="I218" s="84">
        <f>IF(A218="","",IF(AND(C218="Haute",D218="En panne"),"🔴 CRITIQUE",IF(OR(E218&gt;0,F218&gt;0,G218&gt;0),"🟠 ATTENTION","🟢 OK")))</f>
        <v/>
      </c>
      <c r="J218" s="84">
        <f>IF(A218="","",IFERROR(VLOOKUP(A218,EQUIPEMENTS!A:Q,17,0),""))</f>
        <v/>
      </c>
      <c r="K218" s="84" t="n"/>
    </row>
    <row r="219" ht="15" customHeight="1" s="59">
      <c r="A219" s="87">
        <f>IFERROR(EQUIPEMENTS!A219,"")</f>
        <v/>
      </c>
      <c r="B219" s="87">
        <f>IF(A219="","",IFERROR(VLOOKUP(A219,EQUIPEMENTS!A:B,2,0),""))</f>
        <v/>
      </c>
      <c r="C219" s="87">
        <f>IF(A219="","",IFERROR(VLOOKUP(A219,EQUIPEMENTS!A:D,4,0),""))</f>
        <v/>
      </c>
      <c r="D219" s="87">
        <f>IF(A219="","",IFERROR(VLOOKUP(A219,EQUIPEMENTS!A:M,13,0),""))</f>
        <v/>
      </c>
      <c r="E219" s="87">
        <f>IF(A219="","",COUNTIFS(MAINT_PREV!B:B,A219,MAINT_PREV!G:G,"Planifiée",MAINT_PREV!E:E,"&lt;"&amp;TODAY(),MAINT_PREV!H:H,""))</f>
        <v/>
      </c>
      <c r="F219" s="87">
        <f>IF(A219="","",COUNTIFS(INTERVENTIONS!B:B,A219,INTERVENTIONS!L:L,"Ouverte"))</f>
        <v/>
      </c>
      <c r="G219" s="87">
        <f>IF(A219="","",COUNTIFS(COMPOSANTS!B:B,A219,COMPOSANTS!G:G,"Défectueux"))</f>
        <v/>
      </c>
      <c r="H219" s="87">
        <f>IF(A219="","",IFERROR(VLOOKUP(A219,EQUIPEMENTS!A:R,18,0),""))</f>
        <v/>
      </c>
      <c r="I219" s="87">
        <f>IF(A219="","",IF(AND(C219="Haute",D219="En panne"),"🔴 CRITIQUE",IF(OR(E219&gt;0,F219&gt;0,G219&gt;0),"🟠 ATTENTION","🟢 OK")))</f>
        <v/>
      </c>
      <c r="J219" s="87">
        <f>IF(A219="","",IFERROR(VLOOKUP(A219,EQUIPEMENTS!A:Q,17,0),""))</f>
        <v/>
      </c>
      <c r="K219" s="87" t="n"/>
    </row>
    <row r="220" ht="15" customHeight="1" s="59">
      <c r="A220" s="84">
        <f>IFERROR(EQUIPEMENTS!A220,"")</f>
        <v/>
      </c>
      <c r="B220" s="84">
        <f>IF(A220="","",IFERROR(VLOOKUP(A220,EQUIPEMENTS!A:B,2,0),""))</f>
        <v/>
      </c>
      <c r="C220" s="84">
        <f>IF(A220="","",IFERROR(VLOOKUP(A220,EQUIPEMENTS!A:D,4,0),""))</f>
        <v/>
      </c>
      <c r="D220" s="84">
        <f>IF(A220="","",IFERROR(VLOOKUP(A220,EQUIPEMENTS!A:M,13,0),""))</f>
        <v/>
      </c>
      <c r="E220" s="84">
        <f>IF(A220="","",COUNTIFS(MAINT_PREV!B:B,A220,MAINT_PREV!G:G,"Planifiée",MAINT_PREV!E:E,"&lt;"&amp;TODAY(),MAINT_PREV!H:H,""))</f>
        <v/>
      </c>
      <c r="F220" s="84">
        <f>IF(A220="","",COUNTIFS(INTERVENTIONS!B:B,A220,INTERVENTIONS!L:L,"Ouverte"))</f>
        <v/>
      </c>
      <c r="G220" s="84">
        <f>IF(A220="","",COUNTIFS(COMPOSANTS!B:B,A220,COMPOSANTS!G:G,"Défectueux"))</f>
        <v/>
      </c>
      <c r="H220" s="84">
        <f>IF(A220="","",IFERROR(VLOOKUP(A220,EQUIPEMENTS!A:R,18,0),""))</f>
        <v/>
      </c>
      <c r="I220" s="84">
        <f>IF(A220="","",IF(AND(C220="Haute",D220="En panne"),"🔴 CRITIQUE",IF(OR(E220&gt;0,F220&gt;0,G220&gt;0),"🟠 ATTENTION","🟢 OK")))</f>
        <v/>
      </c>
      <c r="J220" s="84">
        <f>IF(A220="","",IFERROR(VLOOKUP(A220,EQUIPEMENTS!A:Q,17,0),""))</f>
        <v/>
      </c>
      <c r="K220" s="84" t="n"/>
    </row>
    <row r="221" ht="15" customHeight="1" s="59">
      <c r="A221" s="87">
        <f>IFERROR(EQUIPEMENTS!A221,"")</f>
        <v/>
      </c>
      <c r="B221" s="87">
        <f>IF(A221="","",IFERROR(VLOOKUP(A221,EQUIPEMENTS!A:B,2,0),""))</f>
        <v/>
      </c>
      <c r="C221" s="87">
        <f>IF(A221="","",IFERROR(VLOOKUP(A221,EQUIPEMENTS!A:D,4,0),""))</f>
        <v/>
      </c>
      <c r="D221" s="87">
        <f>IF(A221="","",IFERROR(VLOOKUP(A221,EQUIPEMENTS!A:M,13,0),""))</f>
        <v/>
      </c>
      <c r="E221" s="87">
        <f>IF(A221="","",COUNTIFS(MAINT_PREV!B:B,A221,MAINT_PREV!G:G,"Planifiée",MAINT_PREV!E:E,"&lt;"&amp;TODAY(),MAINT_PREV!H:H,""))</f>
        <v/>
      </c>
      <c r="F221" s="87">
        <f>IF(A221="","",COUNTIFS(INTERVENTIONS!B:B,A221,INTERVENTIONS!L:L,"Ouverte"))</f>
        <v/>
      </c>
      <c r="G221" s="87">
        <f>IF(A221="","",COUNTIFS(COMPOSANTS!B:B,A221,COMPOSANTS!G:G,"Défectueux"))</f>
        <v/>
      </c>
      <c r="H221" s="87">
        <f>IF(A221="","",IFERROR(VLOOKUP(A221,EQUIPEMENTS!A:R,18,0),""))</f>
        <v/>
      </c>
      <c r="I221" s="87">
        <f>IF(A221="","",IF(AND(C221="Haute",D221="En panne"),"🔴 CRITIQUE",IF(OR(E221&gt;0,F221&gt;0,G221&gt;0),"🟠 ATTENTION","🟢 OK")))</f>
        <v/>
      </c>
      <c r="J221" s="87">
        <f>IF(A221="","",IFERROR(VLOOKUP(A221,EQUIPEMENTS!A:Q,17,0),""))</f>
        <v/>
      </c>
      <c r="K221" s="87" t="n"/>
    </row>
    <row r="222" ht="15" customHeight="1" s="59">
      <c r="A222" s="84">
        <f>IFERROR(EQUIPEMENTS!A222,"")</f>
        <v/>
      </c>
      <c r="B222" s="84">
        <f>IF(A222="","",IFERROR(VLOOKUP(A222,EQUIPEMENTS!A:B,2,0),""))</f>
        <v/>
      </c>
      <c r="C222" s="84">
        <f>IF(A222="","",IFERROR(VLOOKUP(A222,EQUIPEMENTS!A:D,4,0),""))</f>
        <v/>
      </c>
      <c r="D222" s="84">
        <f>IF(A222="","",IFERROR(VLOOKUP(A222,EQUIPEMENTS!A:M,13,0),""))</f>
        <v/>
      </c>
      <c r="E222" s="84">
        <f>IF(A222="","",COUNTIFS(MAINT_PREV!B:B,A222,MAINT_PREV!G:G,"Planifiée",MAINT_PREV!E:E,"&lt;"&amp;TODAY(),MAINT_PREV!H:H,""))</f>
        <v/>
      </c>
      <c r="F222" s="84">
        <f>IF(A222="","",COUNTIFS(INTERVENTIONS!B:B,A222,INTERVENTIONS!L:L,"Ouverte"))</f>
        <v/>
      </c>
      <c r="G222" s="84">
        <f>IF(A222="","",COUNTIFS(COMPOSANTS!B:B,A222,COMPOSANTS!G:G,"Défectueux"))</f>
        <v/>
      </c>
      <c r="H222" s="84">
        <f>IF(A222="","",IFERROR(VLOOKUP(A222,EQUIPEMENTS!A:R,18,0),""))</f>
        <v/>
      </c>
      <c r="I222" s="84">
        <f>IF(A222="","",IF(AND(C222="Haute",D222="En panne"),"🔴 CRITIQUE",IF(OR(E222&gt;0,F222&gt;0,G222&gt;0),"🟠 ATTENTION","🟢 OK")))</f>
        <v/>
      </c>
      <c r="J222" s="84">
        <f>IF(A222="","",IFERROR(VLOOKUP(A222,EQUIPEMENTS!A:Q,17,0),""))</f>
        <v/>
      </c>
      <c r="K222" s="84" t="n"/>
    </row>
    <row r="223" ht="15" customHeight="1" s="59">
      <c r="A223" s="87">
        <f>IFERROR(EQUIPEMENTS!A223,"")</f>
        <v/>
      </c>
      <c r="B223" s="87">
        <f>IF(A223="","",IFERROR(VLOOKUP(A223,EQUIPEMENTS!A:B,2,0),""))</f>
        <v/>
      </c>
      <c r="C223" s="87">
        <f>IF(A223="","",IFERROR(VLOOKUP(A223,EQUIPEMENTS!A:D,4,0),""))</f>
        <v/>
      </c>
      <c r="D223" s="87">
        <f>IF(A223="","",IFERROR(VLOOKUP(A223,EQUIPEMENTS!A:M,13,0),""))</f>
        <v/>
      </c>
      <c r="E223" s="87">
        <f>IF(A223="","",COUNTIFS(MAINT_PREV!B:B,A223,MAINT_PREV!G:G,"Planifiée",MAINT_PREV!E:E,"&lt;"&amp;TODAY(),MAINT_PREV!H:H,""))</f>
        <v/>
      </c>
      <c r="F223" s="87">
        <f>IF(A223="","",COUNTIFS(INTERVENTIONS!B:B,A223,INTERVENTIONS!L:L,"Ouverte"))</f>
        <v/>
      </c>
      <c r="G223" s="87">
        <f>IF(A223="","",COUNTIFS(COMPOSANTS!B:B,A223,COMPOSANTS!G:G,"Défectueux"))</f>
        <v/>
      </c>
      <c r="H223" s="87">
        <f>IF(A223="","",IFERROR(VLOOKUP(A223,EQUIPEMENTS!A:R,18,0),""))</f>
        <v/>
      </c>
      <c r="I223" s="87">
        <f>IF(A223="","",IF(AND(C223="Haute",D223="En panne"),"🔴 CRITIQUE",IF(OR(E223&gt;0,F223&gt;0,G223&gt;0),"🟠 ATTENTION","🟢 OK")))</f>
        <v/>
      </c>
      <c r="J223" s="87">
        <f>IF(A223="","",IFERROR(VLOOKUP(A223,EQUIPEMENTS!A:Q,17,0),""))</f>
        <v/>
      </c>
      <c r="K223" s="87" t="n"/>
    </row>
    <row r="224" ht="15" customHeight="1" s="59">
      <c r="A224" s="84">
        <f>IFERROR(EQUIPEMENTS!A224,"")</f>
        <v/>
      </c>
      <c r="B224" s="84">
        <f>IF(A224="","",IFERROR(VLOOKUP(A224,EQUIPEMENTS!A:B,2,0),""))</f>
        <v/>
      </c>
      <c r="C224" s="84">
        <f>IF(A224="","",IFERROR(VLOOKUP(A224,EQUIPEMENTS!A:D,4,0),""))</f>
        <v/>
      </c>
      <c r="D224" s="84">
        <f>IF(A224="","",IFERROR(VLOOKUP(A224,EQUIPEMENTS!A:M,13,0),""))</f>
        <v/>
      </c>
      <c r="E224" s="84">
        <f>IF(A224="","",COUNTIFS(MAINT_PREV!B:B,A224,MAINT_PREV!G:G,"Planifiée",MAINT_PREV!E:E,"&lt;"&amp;TODAY(),MAINT_PREV!H:H,""))</f>
        <v/>
      </c>
      <c r="F224" s="84">
        <f>IF(A224="","",COUNTIFS(INTERVENTIONS!B:B,A224,INTERVENTIONS!L:L,"Ouverte"))</f>
        <v/>
      </c>
      <c r="G224" s="84">
        <f>IF(A224="","",COUNTIFS(COMPOSANTS!B:B,A224,COMPOSANTS!G:G,"Défectueux"))</f>
        <v/>
      </c>
      <c r="H224" s="84">
        <f>IF(A224="","",IFERROR(VLOOKUP(A224,EQUIPEMENTS!A:R,18,0),""))</f>
        <v/>
      </c>
      <c r="I224" s="84">
        <f>IF(A224="","",IF(AND(C224="Haute",D224="En panne"),"🔴 CRITIQUE",IF(OR(E224&gt;0,F224&gt;0,G224&gt;0),"🟠 ATTENTION","🟢 OK")))</f>
        <v/>
      </c>
      <c r="J224" s="84">
        <f>IF(A224="","",IFERROR(VLOOKUP(A224,EQUIPEMENTS!A:Q,17,0),""))</f>
        <v/>
      </c>
      <c r="K224" s="84" t="n"/>
    </row>
    <row r="225" ht="15" customHeight="1" s="59">
      <c r="A225" s="87">
        <f>IFERROR(EQUIPEMENTS!A225,"")</f>
        <v/>
      </c>
      <c r="B225" s="87">
        <f>IF(A225="","",IFERROR(VLOOKUP(A225,EQUIPEMENTS!A:B,2,0),""))</f>
        <v/>
      </c>
      <c r="C225" s="87">
        <f>IF(A225="","",IFERROR(VLOOKUP(A225,EQUIPEMENTS!A:D,4,0),""))</f>
        <v/>
      </c>
      <c r="D225" s="87">
        <f>IF(A225="","",IFERROR(VLOOKUP(A225,EQUIPEMENTS!A:M,13,0),""))</f>
        <v/>
      </c>
      <c r="E225" s="87">
        <f>IF(A225="","",COUNTIFS(MAINT_PREV!B:B,A225,MAINT_PREV!G:G,"Planifiée",MAINT_PREV!E:E,"&lt;"&amp;TODAY(),MAINT_PREV!H:H,""))</f>
        <v/>
      </c>
      <c r="F225" s="87">
        <f>IF(A225="","",COUNTIFS(INTERVENTIONS!B:B,A225,INTERVENTIONS!L:L,"Ouverte"))</f>
        <v/>
      </c>
      <c r="G225" s="87">
        <f>IF(A225="","",COUNTIFS(COMPOSANTS!B:B,A225,COMPOSANTS!G:G,"Défectueux"))</f>
        <v/>
      </c>
      <c r="H225" s="87">
        <f>IF(A225="","",IFERROR(VLOOKUP(A225,EQUIPEMENTS!A:R,18,0),""))</f>
        <v/>
      </c>
      <c r="I225" s="87">
        <f>IF(A225="","",IF(AND(C225="Haute",D225="En panne"),"🔴 CRITIQUE",IF(OR(E225&gt;0,F225&gt;0,G225&gt;0),"🟠 ATTENTION","🟢 OK")))</f>
        <v/>
      </c>
      <c r="J225" s="87">
        <f>IF(A225="","",IFERROR(VLOOKUP(A225,EQUIPEMENTS!A:Q,17,0),""))</f>
        <v/>
      </c>
      <c r="K225" s="87" t="n"/>
    </row>
    <row r="226" ht="15" customHeight="1" s="59">
      <c r="A226" s="84">
        <f>IFERROR(EQUIPEMENTS!A226,"")</f>
        <v/>
      </c>
      <c r="B226" s="84">
        <f>IF(A226="","",IFERROR(VLOOKUP(A226,EQUIPEMENTS!A:B,2,0),""))</f>
        <v/>
      </c>
      <c r="C226" s="84">
        <f>IF(A226="","",IFERROR(VLOOKUP(A226,EQUIPEMENTS!A:D,4,0),""))</f>
        <v/>
      </c>
      <c r="D226" s="84">
        <f>IF(A226="","",IFERROR(VLOOKUP(A226,EQUIPEMENTS!A:M,13,0),""))</f>
        <v/>
      </c>
      <c r="E226" s="84">
        <f>IF(A226="","",COUNTIFS(MAINT_PREV!B:B,A226,MAINT_PREV!G:G,"Planifiée",MAINT_PREV!E:E,"&lt;"&amp;TODAY(),MAINT_PREV!H:H,""))</f>
        <v/>
      </c>
      <c r="F226" s="84">
        <f>IF(A226="","",COUNTIFS(INTERVENTIONS!B:B,A226,INTERVENTIONS!L:L,"Ouverte"))</f>
        <v/>
      </c>
      <c r="G226" s="84">
        <f>IF(A226="","",COUNTIFS(COMPOSANTS!B:B,A226,COMPOSANTS!G:G,"Défectueux"))</f>
        <v/>
      </c>
      <c r="H226" s="84">
        <f>IF(A226="","",IFERROR(VLOOKUP(A226,EQUIPEMENTS!A:R,18,0),""))</f>
        <v/>
      </c>
      <c r="I226" s="84">
        <f>IF(A226="","",IF(AND(C226="Haute",D226="En panne"),"🔴 CRITIQUE",IF(OR(E226&gt;0,F226&gt;0,G226&gt;0),"🟠 ATTENTION","🟢 OK")))</f>
        <v/>
      </c>
      <c r="J226" s="84">
        <f>IF(A226="","",IFERROR(VLOOKUP(A226,EQUIPEMENTS!A:Q,17,0),""))</f>
        <v/>
      </c>
      <c r="K226" s="84" t="n"/>
    </row>
    <row r="227" ht="15" customHeight="1" s="59">
      <c r="A227" s="87">
        <f>IFERROR(EQUIPEMENTS!A227,"")</f>
        <v/>
      </c>
      <c r="B227" s="87">
        <f>IF(A227="","",IFERROR(VLOOKUP(A227,EQUIPEMENTS!A:B,2,0),""))</f>
        <v/>
      </c>
      <c r="C227" s="87">
        <f>IF(A227="","",IFERROR(VLOOKUP(A227,EQUIPEMENTS!A:D,4,0),""))</f>
        <v/>
      </c>
      <c r="D227" s="87">
        <f>IF(A227="","",IFERROR(VLOOKUP(A227,EQUIPEMENTS!A:M,13,0),""))</f>
        <v/>
      </c>
      <c r="E227" s="87">
        <f>IF(A227="","",COUNTIFS(MAINT_PREV!B:B,A227,MAINT_PREV!G:G,"Planifiée",MAINT_PREV!E:E,"&lt;"&amp;TODAY(),MAINT_PREV!H:H,""))</f>
        <v/>
      </c>
      <c r="F227" s="87">
        <f>IF(A227="","",COUNTIFS(INTERVENTIONS!B:B,A227,INTERVENTIONS!L:L,"Ouverte"))</f>
        <v/>
      </c>
      <c r="G227" s="87">
        <f>IF(A227="","",COUNTIFS(COMPOSANTS!B:B,A227,COMPOSANTS!G:G,"Défectueux"))</f>
        <v/>
      </c>
      <c r="H227" s="87">
        <f>IF(A227="","",IFERROR(VLOOKUP(A227,EQUIPEMENTS!A:R,18,0),""))</f>
        <v/>
      </c>
      <c r="I227" s="87">
        <f>IF(A227="","",IF(AND(C227="Haute",D227="En panne"),"🔴 CRITIQUE",IF(OR(E227&gt;0,F227&gt;0,G227&gt;0),"🟠 ATTENTION","🟢 OK")))</f>
        <v/>
      </c>
      <c r="J227" s="87">
        <f>IF(A227="","",IFERROR(VLOOKUP(A227,EQUIPEMENTS!A:Q,17,0),""))</f>
        <v/>
      </c>
      <c r="K227" s="87" t="n"/>
    </row>
    <row r="228" ht="15" customHeight="1" s="59">
      <c r="A228" s="84">
        <f>IFERROR(EQUIPEMENTS!A228,"")</f>
        <v/>
      </c>
      <c r="B228" s="84">
        <f>IF(A228="","",IFERROR(VLOOKUP(A228,EQUIPEMENTS!A:B,2,0),""))</f>
        <v/>
      </c>
      <c r="C228" s="84">
        <f>IF(A228="","",IFERROR(VLOOKUP(A228,EQUIPEMENTS!A:D,4,0),""))</f>
        <v/>
      </c>
      <c r="D228" s="84">
        <f>IF(A228="","",IFERROR(VLOOKUP(A228,EQUIPEMENTS!A:M,13,0),""))</f>
        <v/>
      </c>
      <c r="E228" s="84">
        <f>IF(A228="","",COUNTIFS(MAINT_PREV!B:B,A228,MAINT_PREV!G:G,"Planifiée",MAINT_PREV!E:E,"&lt;"&amp;TODAY(),MAINT_PREV!H:H,""))</f>
        <v/>
      </c>
      <c r="F228" s="84">
        <f>IF(A228="","",COUNTIFS(INTERVENTIONS!B:B,A228,INTERVENTIONS!L:L,"Ouverte"))</f>
        <v/>
      </c>
      <c r="G228" s="84">
        <f>IF(A228="","",COUNTIFS(COMPOSANTS!B:B,A228,COMPOSANTS!G:G,"Défectueux"))</f>
        <v/>
      </c>
      <c r="H228" s="84">
        <f>IF(A228="","",IFERROR(VLOOKUP(A228,EQUIPEMENTS!A:R,18,0),""))</f>
        <v/>
      </c>
      <c r="I228" s="84">
        <f>IF(A228="","",IF(AND(C228="Haute",D228="En panne"),"🔴 CRITIQUE",IF(OR(E228&gt;0,F228&gt;0,G228&gt;0),"🟠 ATTENTION","🟢 OK")))</f>
        <v/>
      </c>
      <c r="J228" s="84">
        <f>IF(A228="","",IFERROR(VLOOKUP(A228,EQUIPEMENTS!A:Q,17,0),""))</f>
        <v/>
      </c>
      <c r="K228" s="84" t="n"/>
    </row>
    <row r="229" ht="15" customHeight="1" s="59">
      <c r="A229" s="87">
        <f>IFERROR(EQUIPEMENTS!A229,"")</f>
        <v/>
      </c>
      <c r="B229" s="87">
        <f>IF(A229="","",IFERROR(VLOOKUP(A229,EQUIPEMENTS!A:B,2,0),""))</f>
        <v/>
      </c>
      <c r="C229" s="87">
        <f>IF(A229="","",IFERROR(VLOOKUP(A229,EQUIPEMENTS!A:D,4,0),""))</f>
        <v/>
      </c>
      <c r="D229" s="87">
        <f>IF(A229="","",IFERROR(VLOOKUP(A229,EQUIPEMENTS!A:M,13,0),""))</f>
        <v/>
      </c>
      <c r="E229" s="87">
        <f>IF(A229="","",COUNTIFS(MAINT_PREV!B:B,A229,MAINT_PREV!G:G,"Planifiée",MAINT_PREV!E:E,"&lt;"&amp;TODAY(),MAINT_PREV!H:H,""))</f>
        <v/>
      </c>
      <c r="F229" s="87">
        <f>IF(A229="","",COUNTIFS(INTERVENTIONS!B:B,A229,INTERVENTIONS!L:L,"Ouverte"))</f>
        <v/>
      </c>
      <c r="G229" s="87">
        <f>IF(A229="","",COUNTIFS(COMPOSANTS!B:B,A229,COMPOSANTS!G:G,"Défectueux"))</f>
        <v/>
      </c>
      <c r="H229" s="87">
        <f>IF(A229="","",IFERROR(VLOOKUP(A229,EQUIPEMENTS!A:R,18,0),""))</f>
        <v/>
      </c>
      <c r="I229" s="87">
        <f>IF(A229="","",IF(AND(C229="Haute",D229="En panne"),"🔴 CRITIQUE",IF(OR(E229&gt;0,F229&gt;0,G229&gt;0),"🟠 ATTENTION","🟢 OK")))</f>
        <v/>
      </c>
      <c r="J229" s="87">
        <f>IF(A229="","",IFERROR(VLOOKUP(A229,EQUIPEMENTS!A:Q,17,0),""))</f>
        <v/>
      </c>
      <c r="K229" s="87" t="n"/>
    </row>
    <row r="230" ht="15" customHeight="1" s="59">
      <c r="A230" s="84">
        <f>IFERROR(EQUIPEMENTS!A230,"")</f>
        <v/>
      </c>
      <c r="B230" s="84">
        <f>IF(A230="","",IFERROR(VLOOKUP(A230,EQUIPEMENTS!A:B,2,0),""))</f>
        <v/>
      </c>
      <c r="C230" s="84">
        <f>IF(A230="","",IFERROR(VLOOKUP(A230,EQUIPEMENTS!A:D,4,0),""))</f>
        <v/>
      </c>
      <c r="D230" s="84">
        <f>IF(A230="","",IFERROR(VLOOKUP(A230,EQUIPEMENTS!A:M,13,0),""))</f>
        <v/>
      </c>
      <c r="E230" s="84">
        <f>IF(A230="","",COUNTIFS(MAINT_PREV!B:B,A230,MAINT_PREV!G:G,"Planifiée",MAINT_PREV!E:E,"&lt;"&amp;TODAY(),MAINT_PREV!H:H,""))</f>
        <v/>
      </c>
      <c r="F230" s="84">
        <f>IF(A230="","",COUNTIFS(INTERVENTIONS!B:B,A230,INTERVENTIONS!L:L,"Ouverte"))</f>
        <v/>
      </c>
      <c r="G230" s="84">
        <f>IF(A230="","",COUNTIFS(COMPOSANTS!B:B,A230,COMPOSANTS!G:G,"Défectueux"))</f>
        <v/>
      </c>
      <c r="H230" s="84">
        <f>IF(A230="","",IFERROR(VLOOKUP(A230,EQUIPEMENTS!A:R,18,0),""))</f>
        <v/>
      </c>
      <c r="I230" s="84">
        <f>IF(A230="","",IF(AND(C230="Haute",D230="En panne"),"🔴 CRITIQUE",IF(OR(E230&gt;0,F230&gt;0,G230&gt;0),"🟠 ATTENTION","🟢 OK")))</f>
        <v/>
      </c>
      <c r="J230" s="84">
        <f>IF(A230="","",IFERROR(VLOOKUP(A230,EQUIPEMENTS!A:Q,17,0),""))</f>
        <v/>
      </c>
      <c r="K230" s="84" t="n"/>
    </row>
    <row r="231" ht="15" customHeight="1" s="59">
      <c r="A231" s="87">
        <f>IFERROR(EQUIPEMENTS!A231,"")</f>
        <v/>
      </c>
      <c r="B231" s="87">
        <f>IF(A231="","",IFERROR(VLOOKUP(A231,EQUIPEMENTS!A:B,2,0),""))</f>
        <v/>
      </c>
      <c r="C231" s="87">
        <f>IF(A231="","",IFERROR(VLOOKUP(A231,EQUIPEMENTS!A:D,4,0),""))</f>
        <v/>
      </c>
      <c r="D231" s="87">
        <f>IF(A231="","",IFERROR(VLOOKUP(A231,EQUIPEMENTS!A:M,13,0),""))</f>
        <v/>
      </c>
      <c r="E231" s="87">
        <f>IF(A231="","",COUNTIFS(MAINT_PREV!B:B,A231,MAINT_PREV!G:G,"Planifiée",MAINT_PREV!E:E,"&lt;"&amp;TODAY(),MAINT_PREV!H:H,""))</f>
        <v/>
      </c>
      <c r="F231" s="87">
        <f>IF(A231="","",COUNTIFS(INTERVENTIONS!B:B,A231,INTERVENTIONS!L:L,"Ouverte"))</f>
        <v/>
      </c>
      <c r="G231" s="87">
        <f>IF(A231="","",COUNTIFS(COMPOSANTS!B:B,A231,COMPOSANTS!G:G,"Défectueux"))</f>
        <v/>
      </c>
      <c r="H231" s="87">
        <f>IF(A231="","",IFERROR(VLOOKUP(A231,EQUIPEMENTS!A:R,18,0),""))</f>
        <v/>
      </c>
      <c r="I231" s="87">
        <f>IF(A231="","",IF(AND(C231="Haute",D231="En panne"),"🔴 CRITIQUE",IF(OR(E231&gt;0,F231&gt;0,G231&gt;0),"🟠 ATTENTION","🟢 OK")))</f>
        <v/>
      </c>
      <c r="J231" s="87">
        <f>IF(A231="","",IFERROR(VLOOKUP(A231,EQUIPEMENTS!A:Q,17,0),""))</f>
        <v/>
      </c>
      <c r="K231" s="87" t="n"/>
    </row>
    <row r="232" ht="15" customHeight="1" s="59">
      <c r="A232" s="84">
        <f>IFERROR(EQUIPEMENTS!A232,"")</f>
        <v/>
      </c>
      <c r="B232" s="84">
        <f>IF(A232="","",IFERROR(VLOOKUP(A232,EQUIPEMENTS!A:B,2,0),""))</f>
        <v/>
      </c>
      <c r="C232" s="84">
        <f>IF(A232="","",IFERROR(VLOOKUP(A232,EQUIPEMENTS!A:D,4,0),""))</f>
        <v/>
      </c>
      <c r="D232" s="84">
        <f>IF(A232="","",IFERROR(VLOOKUP(A232,EQUIPEMENTS!A:M,13,0),""))</f>
        <v/>
      </c>
      <c r="E232" s="84">
        <f>IF(A232="","",COUNTIFS(MAINT_PREV!B:B,A232,MAINT_PREV!G:G,"Planifiée",MAINT_PREV!E:E,"&lt;"&amp;TODAY(),MAINT_PREV!H:H,""))</f>
        <v/>
      </c>
      <c r="F232" s="84">
        <f>IF(A232="","",COUNTIFS(INTERVENTIONS!B:B,A232,INTERVENTIONS!L:L,"Ouverte"))</f>
        <v/>
      </c>
      <c r="G232" s="84">
        <f>IF(A232="","",COUNTIFS(COMPOSANTS!B:B,A232,COMPOSANTS!G:G,"Défectueux"))</f>
        <v/>
      </c>
      <c r="H232" s="84">
        <f>IF(A232="","",IFERROR(VLOOKUP(A232,EQUIPEMENTS!A:R,18,0),""))</f>
        <v/>
      </c>
      <c r="I232" s="84">
        <f>IF(A232="","",IF(AND(C232="Haute",D232="En panne"),"🔴 CRITIQUE",IF(OR(E232&gt;0,F232&gt;0,G232&gt;0),"🟠 ATTENTION","🟢 OK")))</f>
        <v/>
      </c>
      <c r="J232" s="84">
        <f>IF(A232="","",IFERROR(VLOOKUP(A232,EQUIPEMENTS!A:Q,17,0),""))</f>
        <v/>
      </c>
      <c r="K232" s="84" t="n"/>
    </row>
    <row r="233" ht="15" customHeight="1" s="59">
      <c r="A233" s="87">
        <f>IFERROR(EQUIPEMENTS!A233,"")</f>
        <v/>
      </c>
      <c r="B233" s="87">
        <f>IF(A233="","",IFERROR(VLOOKUP(A233,EQUIPEMENTS!A:B,2,0),""))</f>
        <v/>
      </c>
      <c r="C233" s="87">
        <f>IF(A233="","",IFERROR(VLOOKUP(A233,EQUIPEMENTS!A:D,4,0),""))</f>
        <v/>
      </c>
      <c r="D233" s="87">
        <f>IF(A233="","",IFERROR(VLOOKUP(A233,EQUIPEMENTS!A:M,13,0),""))</f>
        <v/>
      </c>
      <c r="E233" s="87">
        <f>IF(A233="","",COUNTIFS(MAINT_PREV!B:B,A233,MAINT_PREV!G:G,"Planifiée",MAINT_PREV!E:E,"&lt;"&amp;TODAY(),MAINT_PREV!H:H,""))</f>
        <v/>
      </c>
      <c r="F233" s="87">
        <f>IF(A233="","",COUNTIFS(INTERVENTIONS!B:B,A233,INTERVENTIONS!L:L,"Ouverte"))</f>
        <v/>
      </c>
      <c r="G233" s="87">
        <f>IF(A233="","",COUNTIFS(COMPOSANTS!B:B,A233,COMPOSANTS!G:G,"Défectueux"))</f>
        <v/>
      </c>
      <c r="H233" s="87">
        <f>IF(A233="","",IFERROR(VLOOKUP(A233,EQUIPEMENTS!A:R,18,0),""))</f>
        <v/>
      </c>
      <c r="I233" s="87">
        <f>IF(A233="","",IF(AND(C233="Haute",D233="En panne"),"🔴 CRITIQUE",IF(OR(E233&gt;0,F233&gt;0,G233&gt;0),"🟠 ATTENTION","🟢 OK")))</f>
        <v/>
      </c>
      <c r="J233" s="87">
        <f>IF(A233="","",IFERROR(VLOOKUP(A233,EQUIPEMENTS!A:Q,17,0),""))</f>
        <v/>
      </c>
      <c r="K233" s="87" t="n"/>
    </row>
    <row r="234" ht="15" customHeight="1" s="59">
      <c r="A234" s="84">
        <f>IFERROR(EQUIPEMENTS!A234,"")</f>
        <v/>
      </c>
      <c r="B234" s="84">
        <f>IF(A234="","",IFERROR(VLOOKUP(A234,EQUIPEMENTS!A:B,2,0),""))</f>
        <v/>
      </c>
      <c r="C234" s="84">
        <f>IF(A234="","",IFERROR(VLOOKUP(A234,EQUIPEMENTS!A:D,4,0),""))</f>
        <v/>
      </c>
      <c r="D234" s="84">
        <f>IF(A234="","",IFERROR(VLOOKUP(A234,EQUIPEMENTS!A:M,13,0),""))</f>
        <v/>
      </c>
      <c r="E234" s="84">
        <f>IF(A234="","",COUNTIFS(MAINT_PREV!B:B,A234,MAINT_PREV!G:G,"Planifiée",MAINT_PREV!E:E,"&lt;"&amp;TODAY(),MAINT_PREV!H:H,""))</f>
        <v/>
      </c>
      <c r="F234" s="84">
        <f>IF(A234="","",COUNTIFS(INTERVENTIONS!B:B,A234,INTERVENTIONS!L:L,"Ouverte"))</f>
        <v/>
      </c>
      <c r="G234" s="84">
        <f>IF(A234="","",COUNTIFS(COMPOSANTS!B:B,A234,COMPOSANTS!G:G,"Défectueux"))</f>
        <v/>
      </c>
      <c r="H234" s="84">
        <f>IF(A234="","",IFERROR(VLOOKUP(A234,EQUIPEMENTS!A:R,18,0),""))</f>
        <v/>
      </c>
      <c r="I234" s="84">
        <f>IF(A234="","",IF(AND(C234="Haute",D234="En panne"),"🔴 CRITIQUE",IF(OR(E234&gt;0,F234&gt;0,G234&gt;0),"🟠 ATTENTION","🟢 OK")))</f>
        <v/>
      </c>
      <c r="J234" s="84">
        <f>IF(A234="","",IFERROR(VLOOKUP(A234,EQUIPEMENTS!A:Q,17,0),""))</f>
        <v/>
      </c>
      <c r="K234" s="84" t="n"/>
    </row>
    <row r="235" ht="15" customHeight="1" s="59">
      <c r="A235" s="87">
        <f>IFERROR(EQUIPEMENTS!A235,"")</f>
        <v/>
      </c>
      <c r="B235" s="87">
        <f>IF(A235="","",IFERROR(VLOOKUP(A235,EQUIPEMENTS!A:B,2,0),""))</f>
        <v/>
      </c>
      <c r="C235" s="87">
        <f>IF(A235="","",IFERROR(VLOOKUP(A235,EQUIPEMENTS!A:D,4,0),""))</f>
        <v/>
      </c>
      <c r="D235" s="87">
        <f>IF(A235="","",IFERROR(VLOOKUP(A235,EQUIPEMENTS!A:M,13,0),""))</f>
        <v/>
      </c>
      <c r="E235" s="87">
        <f>IF(A235="","",COUNTIFS(MAINT_PREV!B:B,A235,MAINT_PREV!G:G,"Planifiée",MAINT_PREV!E:E,"&lt;"&amp;TODAY(),MAINT_PREV!H:H,""))</f>
        <v/>
      </c>
      <c r="F235" s="87">
        <f>IF(A235="","",COUNTIFS(INTERVENTIONS!B:B,A235,INTERVENTIONS!L:L,"Ouverte"))</f>
        <v/>
      </c>
      <c r="G235" s="87">
        <f>IF(A235="","",COUNTIFS(COMPOSANTS!B:B,A235,COMPOSANTS!G:G,"Défectueux"))</f>
        <v/>
      </c>
      <c r="H235" s="87">
        <f>IF(A235="","",IFERROR(VLOOKUP(A235,EQUIPEMENTS!A:R,18,0),""))</f>
        <v/>
      </c>
      <c r="I235" s="87">
        <f>IF(A235="","",IF(AND(C235="Haute",D235="En panne"),"🔴 CRITIQUE",IF(OR(E235&gt;0,F235&gt;0,G235&gt;0),"🟠 ATTENTION","🟢 OK")))</f>
        <v/>
      </c>
      <c r="J235" s="87">
        <f>IF(A235="","",IFERROR(VLOOKUP(A235,EQUIPEMENTS!A:Q,17,0),""))</f>
        <v/>
      </c>
      <c r="K235" s="87" t="n"/>
    </row>
    <row r="236" ht="15" customHeight="1" s="59">
      <c r="A236" s="84">
        <f>IFERROR(EQUIPEMENTS!A236,"")</f>
        <v/>
      </c>
      <c r="B236" s="84">
        <f>IF(A236="","",IFERROR(VLOOKUP(A236,EQUIPEMENTS!A:B,2,0),""))</f>
        <v/>
      </c>
      <c r="C236" s="84">
        <f>IF(A236="","",IFERROR(VLOOKUP(A236,EQUIPEMENTS!A:D,4,0),""))</f>
        <v/>
      </c>
      <c r="D236" s="84">
        <f>IF(A236="","",IFERROR(VLOOKUP(A236,EQUIPEMENTS!A:M,13,0),""))</f>
        <v/>
      </c>
      <c r="E236" s="84">
        <f>IF(A236="","",COUNTIFS(MAINT_PREV!B:B,A236,MAINT_PREV!G:G,"Planifiée",MAINT_PREV!E:E,"&lt;"&amp;TODAY(),MAINT_PREV!H:H,""))</f>
        <v/>
      </c>
      <c r="F236" s="84">
        <f>IF(A236="","",COUNTIFS(INTERVENTIONS!B:B,A236,INTERVENTIONS!L:L,"Ouverte"))</f>
        <v/>
      </c>
      <c r="G236" s="84">
        <f>IF(A236="","",COUNTIFS(COMPOSANTS!B:B,A236,COMPOSANTS!G:G,"Défectueux"))</f>
        <v/>
      </c>
      <c r="H236" s="84">
        <f>IF(A236="","",IFERROR(VLOOKUP(A236,EQUIPEMENTS!A:R,18,0),""))</f>
        <v/>
      </c>
      <c r="I236" s="84">
        <f>IF(A236="","",IF(AND(C236="Haute",D236="En panne"),"🔴 CRITIQUE",IF(OR(E236&gt;0,F236&gt;0,G236&gt;0),"🟠 ATTENTION","🟢 OK")))</f>
        <v/>
      </c>
      <c r="J236" s="84">
        <f>IF(A236="","",IFERROR(VLOOKUP(A236,EQUIPEMENTS!A:Q,17,0),""))</f>
        <v/>
      </c>
      <c r="K236" s="84" t="n"/>
    </row>
    <row r="237" ht="15" customHeight="1" s="59">
      <c r="A237" s="87">
        <f>IFERROR(EQUIPEMENTS!A237,"")</f>
        <v/>
      </c>
      <c r="B237" s="87">
        <f>IF(A237="","",IFERROR(VLOOKUP(A237,EQUIPEMENTS!A:B,2,0),""))</f>
        <v/>
      </c>
      <c r="C237" s="87">
        <f>IF(A237="","",IFERROR(VLOOKUP(A237,EQUIPEMENTS!A:D,4,0),""))</f>
        <v/>
      </c>
      <c r="D237" s="87">
        <f>IF(A237="","",IFERROR(VLOOKUP(A237,EQUIPEMENTS!A:M,13,0),""))</f>
        <v/>
      </c>
      <c r="E237" s="87">
        <f>IF(A237="","",COUNTIFS(MAINT_PREV!B:B,A237,MAINT_PREV!G:G,"Planifiée",MAINT_PREV!E:E,"&lt;"&amp;TODAY(),MAINT_PREV!H:H,""))</f>
        <v/>
      </c>
      <c r="F237" s="87">
        <f>IF(A237="","",COUNTIFS(INTERVENTIONS!B:B,A237,INTERVENTIONS!L:L,"Ouverte"))</f>
        <v/>
      </c>
      <c r="G237" s="87">
        <f>IF(A237="","",COUNTIFS(COMPOSANTS!B:B,A237,COMPOSANTS!G:G,"Défectueux"))</f>
        <v/>
      </c>
      <c r="H237" s="87">
        <f>IF(A237="","",IFERROR(VLOOKUP(A237,EQUIPEMENTS!A:R,18,0),""))</f>
        <v/>
      </c>
      <c r="I237" s="87">
        <f>IF(A237="","",IF(AND(C237="Haute",D237="En panne"),"🔴 CRITIQUE",IF(OR(E237&gt;0,F237&gt;0,G237&gt;0),"🟠 ATTENTION","🟢 OK")))</f>
        <v/>
      </c>
      <c r="J237" s="87">
        <f>IF(A237="","",IFERROR(VLOOKUP(A237,EQUIPEMENTS!A:Q,17,0),""))</f>
        <v/>
      </c>
      <c r="K237" s="87" t="n"/>
    </row>
    <row r="238" ht="15" customHeight="1" s="59">
      <c r="A238" s="84">
        <f>IFERROR(EQUIPEMENTS!A238,"")</f>
        <v/>
      </c>
      <c r="B238" s="84">
        <f>IF(A238="","",IFERROR(VLOOKUP(A238,EQUIPEMENTS!A:B,2,0),""))</f>
        <v/>
      </c>
      <c r="C238" s="84">
        <f>IF(A238="","",IFERROR(VLOOKUP(A238,EQUIPEMENTS!A:D,4,0),""))</f>
        <v/>
      </c>
      <c r="D238" s="84">
        <f>IF(A238="","",IFERROR(VLOOKUP(A238,EQUIPEMENTS!A:M,13,0),""))</f>
        <v/>
      </c>
      <c r="E238" s="84">
        <f>IF(A238="","",COUNTIFS(MAINT_PREV!B:B,A238,MAINT_PREV!G:G,"Planifiée",MAINT_PREV!E:E,"&lt;"&amp;TODAY(),MAINT_PREV!H:H,""))</f>
        <v/>
      </c>
      <c r="F238" s="84">
        <f>IF(A238="","",COUNTIFS(INTERVENTIONS!B:B,A238,INTERVENTIONS!L:L,"Ouverte"))</f>
        <v/>
      </c>
      <c r="G238" s="84">
        <f>IF(A238="","",COUNTIFS(COMPOSANTS!B:B,A238,COMPOSANTS!G:G,"Défectueux"))</f>
        <v/>
      </c>
      <c r="H238" s="84">
        <f>IF(A238="","",IFERROR(VLOOKUP(A238,EQUIPEMENTS!A:R,18,0),""))</f>
        <v/>
      </c>
      <c r="I238" s="84">
        <f>IF(A238="","",IF(AND(C238="Haute",D238="En panne"),"🔴 CRITIQUE",IF(OR(E238&gt;0,F238&gt;0,G238&gt;0),"🟠 ATTENTION","🟢 OK")))</f>
        <v/>
      </c>
      <c r="J238" s="84">
        <f>IF(A238="","",IFERROR(VLOOKUP(A238,EQUIPEMENTS!A:Q,17,0),""))</f>
        <v/>
      </c>
      <c r="K238" s="84" t="n"/>
    </row>
    <row r="239" ht="15" customHeight="1" s="59">
      <c r="A239" s="87">
        <f>IFERROR(EQUIPEMENTS!A239,"")</f>
        <v/>
      </c>
      <c r="B239" s="87">
        <f>IF(A239="","",IFERROR(VLOOKUP(A239,EQUIPEMENTS!A:B,2,0),""))</f>
        <v/>
      </c>
      <c r="C239" s="87">
        <f>IF(A239="","",IFERROR(VLOOKUP(A239,EQUIPEMENTS!A:D,4,0),""))</f>
        <v/>
      </c>
      <c r="D239" s="87">
        <f>IF(A239="","",IFERROR(VLOOKUP(A239,EQUIPEMENTS!A:M,13,0),""))</f>
        <v/>
      </c>
      <c r="E239" s="87">
        <f>IF(A239="","",COUNTIFS(MAINT_PREV!B:B,A239,MAINT_PREV!G:G,"Planifiée",MAINT_PREV!E:E,"&lt;"&amp;TODAY(),MAINT_PREV!H:H,""))</f>
        <v/>
      </c>
      <c r="F239" s="87">
        <f>IF(A239="","",COUNTIFS(INTERVENTIONS!B:B,A239,INTERVENTIONS!L:L,"Ouverte"))</f>
        <v/>
      </c>
      <c r="G239" s="87">
        <f>IF(A239="","",COUNTIFS(COMPOSANTS!B:B,A239,COMPOSANTS!G:G,"Défectueux"))</f>
        <v/>
      </c>
      <c r="H239" s="87">
        <f>IF(A239="","",IFERROR(VLOOKUP(A239,EQUIPEMENTS!A:R,18,0),""))</f>
        <v/>
      </c>
      <c r="I239" s="87">
        <f>IF(A239="","",IF(AND(C239="Haute",D239="En panne"),"🔴 CRITIQUE",IF(OR(E239&gt;0,F239&gt;0,G239&gt;0),"🟠 ATTENTION","🟢 OK")))</f>
        <v/>
      </c>
      <c r="J239" s="87">
        <f>IF(A239="","",IFERROR(VLOOKUP(A239,EQUIPEMENTS!A:Q,17,0),""))</f>
        <v/>
      </c>
      <c r="K239" s="87" t="n"/>
    </row>
    <row r="240" ht="15" customHeight="1" s="59">
      <c r="A240" s="84">
        <f>IFERROR(EQUIPEMENTS!A240,"")</f>
        <v/>
      </c>
      <c r="B240" s="84">
        <f>IF(A240="","",IFERROR(VLOOKUP(A240,EQUIPEMENTS!A:B,2,0),""))</f>
        <v/>
      </c>
      <c r="C240" s="84">
        <f>IF(A240="","",IFERROR(VLOOKUP(A240,EQUIPEMENTS!A:D,4,0),""))</f>
        <v/>
      </c>
      <c r="D240" s="84">
        <f>IF(A240="","",IFERROR(VLOOKUP(A240,EQUIPEMENTS!A:M,13,0),""))</f>
        <v/>
      </c>
      <c r="E240" s="84">
        <f>IF(A240="","",COUNTIFS(MAINT_PREV!B:B,A240,MAINT_PREV!G:G,"Planifiée",MAINT_PREV!E:E,"&lt;"&amp;TODAY(),MAINT_PREV!H:H,""))</f>
        <v/>
      </c>
      <c r="F240" s="84">
        <f>IF(A240="","",COUNTIFS(INTERVENTIONS!B:B,A240,INTERVENTIONS!L:L,"Ouverte"))</f>
        <v/>
      </c>
      <c r="G240" s="84">
        <f>IF(A240="","",COUNTIFS(COMPOSANTS!B:B,A240,COMPOSANTS!G:G,"Défectueux"))</f>
        <v/>
      </c>
      <c r="H240" s="84">
        <f>IF(A240="","",IFERROR(VLOOKUP(A240,EQUIPEMENTS!A:R,18,0),""))</f>
        <v/>
      </c>
      <c r="I240" s="84">
        <f>IF(A240="","",IF(AND(C240="Haute",D240="En panne"),"🔴 CRITIQUE",IF(OR(E240&gt;0,F240&gt;0,G240&gt;0),"🟠 ATTENTION","🟢 OK")))</f>
        <v/>
      </c>
      <c r="J240" s="84">
        <f>IF(A240="","",IFERROR(VLOOKUP(A240,EQUIPEMENTS!A:Q,17,0),""))</f>
        <v/>
      </c>
      <c r="K240" s="84" t="n"/>
    </row>
    <row r="241" ht="15" customHeight="1" s="59">
      <c r="A241" s="87">
        <f>IFERROR(EQUIPEMENTS!A241,"")</f>
        <v/>
      </c>
      <c r="B241" s="87">
        <f>IF(A241="","",IFERROR(VLOOKUP(A241,EQUIPEMENTS!A:B,2,0),""))</f>
        <v/>
      </c>
      <c r="C241" s="87">
        <f>IF(A241="","",IFERROR(VLOOKUP(A241,EQUIPEMENTS!A:D,4,0),""))</f>
        <v/>
      </c>
      <c r="D241" s="87">
        <f>IF(A241="","",IFERROR(VLOOKUP(A241,EQUIPEMENTS!A:M,13,0),""))</f>
        <v/>
      </c>
      <c r="E241" s="87">
        <f>IF(A241="","",COUNTIFS(MAINT_PREV!B:B,A241,MAINT_PREV!G:G,"Planifiée",MAINT_PREV!E:E,"&lt;"&amp;TODAY(),MAINT_PREV!H:H,""))</f>
        <v/>
      </c>
      <c r="F241" s="87">
        <f>IF(A241="","",COUNTIFS(INTERVENTIONS!B:B,A241,INTERVENTIONS!L:L,"Ouverte"))</f>
        <v/>
      </c>
      <c r="G241" s="87">
        <f>IF(A241="","",COUNTIFS(COMPOSANTS!B:B,A241,COMPOSANTS!G:G,"Défectueux"))</f>
        <v/>
      </c>
      <c r="H241" s="87">
        <f>IF(A241="","",IFERROR(VLOOKUP(A241,EQUIPEMENTS!A:R,18,0),""))</f>
        <v/>
      </c>
      <c r="I241" s="87">
        <f>IF(A241="","",IF(AND(C241="Haute",D241="En panne"),"🔴 CRITIQUE",IF(OR(E241&gt;0,F241&gt;0,G241&gt;0),"🟠 ATTENTION","🟢 OK")))</f>
        <v/>
      </c>
      <c r="J241" s="87">
        <f>IF(A241="","",IFERROR(VLOOKUP(A241,EQUIPEMENTS!A:Q,17,0),""))</f>
        <v/>
      </c>
      <c r="K241" s="87" t="n"/>
    </row>
    <row r="242" ht="15" customHeight="1" s="59">
      <c r="A242" s="84">
        <f>IFERROR(EQUIPEMENTS!A242,"")</f>
        <v/>
      </c>
      <c r="B242" s="84">
        <f>IF(A242="","",IFERROR(VLOOKUP(A242,EQUIPEMENTS!A:B,2,0),""))</f>
        <v/>
      </c>
      <c r="C242" s="84">
        <f>IF(A242="","",IFERROR(VLOOKUP(A242,EQUIPEMENTS!A:D,4,0),""))</f>
        <v/>
      </c>
      <c r="D242" s="84">
        <f>IF(A242="","",IFERROR(VLOOKUP(A242,EQUIPEMENTS!A:M,13,0),""))</f>
        <v/>
      </c>
      <c r="E242" s="84">
        <f>IF(A242="","",COUNTIFS(MAINT_PREV!B:B,A242,MAINT_PREV!G:G,"Planifiée",MAINT_PREV!E:E,"&lt;"&amp;TODAY(),MAINT_PREV!H:H,""))</f>
        <v/>
      </c>
      <c r="F242" s="84">
        <f>IF(A242="","",COUNTIFS(INTERVENTIONS!B:B,A242,INTERVENTIONS!L:L,"Ouverte"))</f>
        <v/>
      </c>
      <c r="G242" s="84">
        <f>IF(A242="","",COUNTIFS(COMPOSANTS!B:B,A242,COMPOSANTS!G:G,"Défectueux"))</f>
        <v/>
      </c>
      <c r="H242" s="84">
        <f>IF(A242="","",IFERROR(VLOOKUP(A242,EQUIPEMENTS!A:R,18,0),""))</f>
        <v/>
      </c>
      <c r="I242" s="84">
        <f>IF(A242="","",IF(AND(C242="Haute",D242="En panne"),"🔴 CRITIQUE",IF(OR(E242&gt;0,F242&gt;0,G242&gt;0),"🟠 ATTENTION","🟢 OK")))</f>
        <v/>
      </c>
      <c r="J242" s="84">
        <f>IF(A242="","",IFERROR(VLOOKUP(A242,EQUIPEMENTS!A:Q,17,0),""))</f>
        <v/>
      </c>
      <c r="K242" s="84" t="n"/>
    </row>
    <row r="243" ht="15" customHeight="1" s="59">
      <c r="A243" s="87">
        <f>IFERROR(EQUIPEMENTS!A243,"")</f>
        <v/>
      </c>
      <c r="B243" s="87">
        <f>IF(A243="","",IFERROR(VLOOKUP(A243,EQUIPEMENTS!A:B,2,0),""))</f>
        <v/>
      </c>
      <c r="C243" s="87">
        <f>IF(A243="","",IFERROR(VLOOKUP(A243,EQUIPEMENTS!A:D,4,0),""))</f>
        <v/>
      </c>
      <c r="D243" s="87">
        <f>IF(A243="","",IFERROR(VLOOKUP(A243,EQUIPEMENTS!A:M,13,0),""))</f>
        <v/>
      </c>
      <c r="E243" s="87">
        <f>IF(A243="","",COUNTIFS(MAINT_PREV!B:B,A243,MAINT_PREV!G:G,"Planifiée",MAINT_PREV!E:E,"&lt;"&amp;TODAY(),MAINT_PREV!H:H,""))</f>
        <v/>
      </c>
      <c r="F243" s="87">
        <f>IF(A243="","",COUNTIFS(INTERVENTIONS!B:B,A243,INTERVENTIONS!L:L,"Ouverte"))</f>
        <v/>
      </c>
      <c r="G243" s="87">
        <f>IF(A243="","",COUNTIFS(COMPOSANTS!B:B,A243,COMPOSANTS!G:G,"Défectueux"))</f>
        <v/>
      </c>
      <c r="H243" s="87">
        <f>IF(A243="","",IFERROR(VLOOKUP(A243,EQUIPEMENTS!A:R,18,0),""))</f>
        <v/>
      </c>
      <c r="I243" s="87">
        <f>IF(A243="","",IF(AND(C243="Haute",D243="En panne"),"🔴 CRITIQUE",IF(OR(E243&gt;0,F243&gt;0,G243&gt;0),"🟠 ATTENTION","🟢 OK")))</f>
        <v/>
      </c>
      <c r="J243" s="87">
        <f>IF(A243="","",IFERROR(VLOOKUP(A243,EQUIPEMENTS!A:Q,17,0),""))</f>
        <v/>
      </c>
      <c r="K243" s="87" t="n"/>
    </row>
    <row r="244" ht="15" customHeight="1" s="59">
      <c r="A244" s="84">
        <f>IFERROR(EQUIPEMENTS!A244,"")</f>
        <v/>
      </c>
      <c r="B244" s="84">
        <f>IF(A244="","",IFERROR(VLOOKUP(A244,EQUIPEMENTS!A:B,2,0),""))</f>
        <v/>
      </c>
      <c r="C244" s="84">
        <f>IF(A244="","",IFERROR(VLOOKUP(A244,EQUIPEMENTS!A:D,4,0),""))</f>
        <v/>
      </c>
      <c r="D244" s="84">
        <f>IF(A244="","",IFERROR(VLOOKUP(A244,EQUIPEMENTS!A:M,13,0),""))</f>
        <v/>
      </c>
      <c r="E244" s="84">
        <f>IF(A244="","",COUNTIFS(MAINT_PREV!B:B,A244,MAINT_PREV!G:G,"Planifiée",MAINT_PREV!E:E,"&lt;"&amp;TODAY(),MAINT_PREV!H:H,""))</f>
        <v/>
      </c>
      <c r="F244" s="84">
        <f>IF(A244="","",COUNTIFS(INTERVENTIONS!B:B,A244,INTERVENTIONS!L:L,"Ouverte"))</f>
        <v/>
      </c>
      <c r="G244" s="84">
        <f>IF(A244="","",COUNTIFS(COMPOSANTS!B:B,A244,COMPOSANTS!G:G,"Défectueux"))</f>
        <v/>
      </c>
      <c r="H244" s="84">
        <f>IF(A244="","",IFERROR(VLOOKUP(A244,EQUIPEMENTS!A:R,18,0),""))</f>
        <v/>
      </c>
      <c r="I244" s="84">
        <f>IF(A244="","",IF(AND(C244="Haute",D244="En panne"),"🔴 CRITIQUE",IF(OR(E244&gt;0,F244&gt;0,G244&gt;0),"🟠 ATTENTION","🟢 OK")))</f>
        <v/>
      </c>
      <c r="J244" s="84">
        <f>IF(A244="","",IFERROR(VLOOKUP(A244,EQUIPEMENTS!A:Q,17,0),""))</f>
        <v/>
      </c>
      <c r="K244" s="84" t="n"/>
    </row>
    <row r="245" ht="15" customHeight="1" s="59">
      <c r="A245" s="87">
        <f>IFERROR(EQUIPEMENTS!A245,"")</f>
        <v/>
      </c>
      <c r="B245" s="87">
        <f>IF(A245="","",IFERROR(VLOOKUP(A245,EQUIPEMENTS!A:B,2,0),""))</f>
        <v/>
      </c>
      <c r="C245" s="87">
        <f>IF(A245="","",IFERROR(VLOOKUP(A245,EQUIPEMENTS!A:D,4,0),""))</f>
        <v/>
      </c>
      <c r="D245" s="87">
        <f>IF(A245="","",IFERROR(VLOOKUP(A245,EQUIPEMENTS!A:M,13,0),""))</f>
        <v/>
      </c>
      <c r="E245" s="87">
        <f>IF(A245="","",COUNTIFS(MAINT_PREV!B:B,A245,MAINT_PREV!G:G,"Planifiée",MAINT_PREV!E:E,"&lt;"&amp;TODAY(),MAINT_PREV!H:H,""))</f>
        <v/>
      </c>
      <c r="F245" s="87">
        <f>IF(A245="","",COUNTIFS(INTERVENTIONS!B:B,A245,INTERVENTIONS!L:L,"Ouverte"))</f>
        <v/>
      </c>
      <c r="G245" s="87">
        <f>IF(A245="","",COUNTIFS(COMPOSANTS!B:B,A245,COMPOSANTS!G:G,"Défectueux"))</f>
        <v/>
      </c>
      <c r="H245" s="87">
        <f>IF(A245="","",IFERROR(VLOOKUP(A245,EQUIPEMENTS!A:R,18,0),""))</f>
        <v/>
      </c>
      <c r="I245" s="87">
        <f>IF(A245="","",IF(AND(C245="Haute",D245="En panne"),"🔴 CRITIQUE",IF(OR(E245&gt;0,F245&gt;0,G245&gt;0),"🟠 ATTENTION","🟢 OK")))</f>
        <v/>
      </c>
      <c r="J245" s="87">
        <f>IF(A245="","",IFERROR(VLOOKUP(A245,EQUIPEMENTS!A:Q,17,0),""))</f>
        <v/>
      </c>
      <c r="K245" s="87" t="n"/>
    </row>
    <row r="246" ht="15" customHeight="1" s="59">
      <c r="A246" s="84">
        <f>IFERROR(EQUIPEMENTS!A246,"")</f>
        <v/>
      </c>
      <c r="B246" s="84">
        <f>IF(A246="","",IFERROR(VLOOKUP(A246,EQUIPEMENTS!A:B,2,0),""))</f>
        <v/>
      </c>
      <c r="C246" s="84">
        <f>IF(A246="","",IFERROR(VLOOKUP(A246,EQUIPEMENTS!A:D,4,0),""))</f>
        <v/>
      </c>
      <c r="D246" s="84">
        <f>IF(A246="","",IFERROR(VLOOKUP(A246,EQUIPEMENTS!A:M,13,0),""))</f>
        <v/>
      </c>
      <c r="E246" s="84">
        <f>IF(A246="","",COUNTIFS(MAINT_PREV!B:B,A246,MAINT_PREV!G:G,"Planifiée",MAINT_PREV!E:E,"&lt;"&amp;TODAY(),MAINT_PREV!H:H,""))</f>
        <v/>
      </c>
      <c r="F246" s="84">
        <f>IF(A246="","",COUNTIFS(INTERVENTIONS!B:B,A246,INTERVENTIONS!L:L,"Ouverte"))</f>
        <v/>
      </c>
      <c r="G246" s="84">
        <f>IF(A246="","",COUNTIFS(COMPOSANTS!B:B,A246,COMPOSANTS!G:G,"Défectueux"))</f>
        <v/>
      </c>
      <c r="H246" s="84">
        <f>IF(A246="","",IFERROR(VLOOKUP(A246,EQUIPEMENTS!A:R,18,0),""))</f>
        <v/>
      </c>
      <c r="I246" s="84">
        <f>IF(A246="","",IF(AND(C246="Haute",D246="En panne"),"🔴 CRITIQUE",IF(OR(E246&gt;0,F246&gt;0,G246&gt;0),"🟠 ATTENTION","🟢 OK")))</f>
        <v/>
      </c>
      <c r="J246" s="84">
        <f>IF(A246="","",IFERROR(VLOOKUP(A246,EQUIPEMENTS!A:Q,17,0),""))</f>
        <v/>
      </c>
      <c r="K246" s="84" t="n"/>
    </row>
    <row r="247" ht="15" customHeight="1" s="59">
      <c r="A247" s="87">
        <f>IFERROR(EQUIPEMENTS!A247,"")</f>
        <v/>
      </c>
      <c r="B247" s="87">
        <f>IF(A247="","",IFERROR(VLOOKUP(A247,EQUIPEMENTS!A:B,2,0),""))</f>
        <v/>
      </c>
      <c r="C247" s="87">
        <f>IF(A247="","",IFERROR(VLOOKUP(A247,EQUIPEMENTS!A:D,4,0),""))</f>
        <v/>
      </c>
      <c r="D247" s="87">
        <f>IF(A247="","",IFERROR(VLOOKUP(A247,EQUIPEMENTS!A:M,13,0),""))</f>
        <v/>
      </c>
      <c r="E247" s="87">
        <f>IF(A247="","",COUNTIFS(MAINT_PREV!B:B,A247,MAINT_PREV!G:G,"Planifiée",MAINT_PREV!E:E,"&lt;"&amp;TODAY(),MAINT_PREV!H:H,""))</f>
        <v/>
      </c>
      <c r="F247" s="87">
        <f>IF(A247="","",COUNTIFS(INTERVENTIONS!B:B,A247,INTERVENTIONS!L:L,"Ouverte"))</f>
        <v/>
      </c>
      <c r="G247" s="87">
        <f>IF(A247="","",COUNTIFS(COMPOSANTS!B:B,A247,COMPOSANTS!G:G,"Défectueux"))</f>
        <v/>
      </c>
      <c r="H247" s="87">
        <f>IF(A247="","",IFERROR(VLOOKUP(A247,EQUIPEMENTS!A:R,18,0),""))</f>
        <v/>
      </c>
      <c r="I247" s="87">
        <f>IF(A247="","",IF(AND(C247="Haute",D247="En panne"),"🔴 CRITIQUE",IF(OR(E247&gt;0,F247&gt;0,G247&gt;0),"🟠 ATTENTION","🟢 OK")))</f>
        <v/>
      </c>
      <c r="J247" s="87">
        <f>IF(A247="","",IFERROR(VLOOKUP(A247,EQUIPEMENTS!A:Q,17,0),""))</f>
        <v/>
      </c>
      <c r="K247" s="87" t="n"/>
    </row>
    <row r="248" ht="15" customHeight="1" s="59">
      <c r="A248" s="84">
        <f>IFERROR(EQUIPEMENTS!A248,"")</f>
        <v/>
      </c>
      <c r="B248" s="84">
        <f>IF(A248="","",IFERROR(VLOOKUP(A248,EQUIPEMENTS!A:B,2,0),""))</f>
        <v/>
      </c>
      <c r="C248" s="84">
        <f>IF(A248="","",IFERROR(VLOOKUP(A248,EQUIPEMENTS!A:D,4,0),""))</f>
        <v/>
      </c>
      <c r="D248" s="84">
        <f>IF(A248="","",IFERROR(VLOOKUP(A248,EQUIPEMENTS!A:M,13,0),""))</f>
        <v/>
      </c>
      <c r="E248" s="84">
        <f>IF(A248="","",COUNTIFS(MAINT_PREV!B:B,A248,MAINT_PREV!G:G,"Planifiée",MAINT_PREV!E:E,"&lt;"&amp;TODAY(),MAINT_PREV!H:H,""))</f>
        <v/>
      </c>
      <c r="F248" s="84">
        <f>IF(A248="","",COUNTIFS(INTERVENTIONS!B:B,A248,INTERVENTIONS!L:L,"Ouverte"))</f>
        <v/>
      </c>
      <c r="G248" s="84">
        <f>IF(A248="","",COUNTIFS(COMPOSANTS!B:B,A248,COMPOSANTS!G:G,"Défectueux"))</f>
        <v/>
      </c>
      <c r="H248" s="84">
        <f>IF(A248="","",IFERROR(VLOOKUP(A248,EQUIPEMENTS!A:R,18,0),""))</f>
        <v/>
      </c>
      <c r="I248" s="84">
        <f>IF(A248="","",IF(AND(C248="Haute",D248="En panne"),"🔴 CRITIQUE",IF(OR(E248&gt;0,F248&gt;0,G248&gt;0),"🟠 ATTENTION","🟢 OK")))</f>
        <v/>
      </c>
      <c r="J248" s="84">
        <f>IF(A248="","",IFERROR(VLOOKUP(A248,EQUIPEMENTS!A:Q,17,0),""))</f>
        <v/>
      </c>
      <c r="K248" s="84" t="n"/>
    </row>
    <row r="249" ht="15" customHeight="1" s="59">
      <c r="A249" s="87">
        <f>IFERROR(EQUIPEMENTS!A249,"")</f>
        <v/>
      </c>
      <c r="B249" s="87">
        <f>IF(A249="","",IFERROR(VLOOKUP(A249,EQUIPEMENTS!A:B,2,0),""))</f>
        <v/>
      </c>
      <c r="C249" s="87">
        <f>IF(A249="","",IFERROR(VLOOKUP(A249,EQUIPEMENTS!A:D,4,0),""))</f>
        <v/>
      </c>
      <c r="D249" s="87">
        <f>IF(A249="","",IFERROR(VLOOKUP(A249,EQUIPEMENTS!A:M,13,0),""))</f>
        <v/>
      </c>
      <c r="E249" s="87">
        <f>IF(A249="","",COUNTIFS(MAINT_PREV!B:B,A249,MAINT_PREV!G:G,"Planifiée",MAINT_PREV!E:E,"&lt;"&amp;TODAY(),MAINT_PREV!H:H,""))</f>
        <v/>
      </c>
      <c r="F249" s="87">
        <f>IF(A249="","",COUNTIFS(INTERVENTIONS!B:B,A249,INTERVENTIONS!L:L,"Ouverte"))</f>
        <v/>
      </c>
      <c r="G249" s="87">
        <f>IF(A249="","",COUNTIFS(COMPOSANTS!B:B,A249,COMPOSANTS!G:G,"Défectueux"))</f>
        <v/>
      </c>
      <c r="H249" s="87">
        <f>IF(A249="","",IFERROR(VLOOKUP(A249,EQUIPEMENTS!A:R,18,0),""))</f>
        <v/>
      </c>
      <c r="I249" s="87">
        <f>IF(A249="","",IF(AND(C249="Haute",D249="En panne"),"🔴 CRITIQUE",IF(OR(E249&gt;0,F249&gt;0,G249&gt;0),"🟠 ATTENTION","🟢 OK")))</f>
        <v/>
      </c>
      <c r="J249" s="87">
        <f>IF(A249="","",IFERROR(VLOOKUP(A249,EQUIPEMENTS!A:Q,17,0),""))</f>
        <v/>
      </c>
      <c r="K249" s="87" t="n"/>
    </row>
    <row r="250" ht="15" customHeight="1" s="59">
      <c r="A250" s="84">
        <f>IFERROR(EQUIPEMENTS!A250,"")</f>
        <v/>
      </c>
      <c r="B250" s="84">
        <f>IF(A250="","",IFERROR(VLOOKUP(A250,EQUIPEMENTS!A:B,2,0),""))</f>
        <v/>
      </c>
      <c r="C250" s="84">
        <f>IF(A250="","",IFERROR(VLOOKUP(A250,EQUIPEMENTS!A:D,4,0),""))</f>
        <v/>
      </c>
      <c r="D250" s="84">
        <f>IF(A250="","",IFERROR(VLOOKUP(A250,EQUIPEMENTS!A:M,13,0),""))</f>
        <v/>
      </c>
      <c r="E250" s="84">
        <f>IF(A250="","",COUNTIFS(MAINT_PREV!B:B,A250,MAINT_PREV!G:G,"Planifiée",MAINT_PREV!E:E,"&lt;"&amp;TODAY(),MAINT_PREV!H:H,""))</f>
        <v/>
      </c>
      <c r="F250" s="84">
        <f>IF(A250="","",COUNTIFS(INTERVENTIONS!B:B,A250,INTERVENTIONS!L:L,"Ouverte"))</f>
        <v/>
      </c>
      <c r="G250" s="84">
        <f>IF(A250="","",COUNTIFS(COMPOSANTS!B:B,A250,COMPOSANTS!G:G,"Défectueux"))</f>
        <v/>
      </c>
      <c r="H250" s="84">
        <f>IF(A250="","",IFERROR(VLOOKUP(A250,EQUIPEMENTS!A:R,18,0),""))</f>
        <v/>
      </c>
      <c r="I250" s="84">
        <f>IF(A250="","",IF(AND(C250="Haute",D250="En panne"),"🔴 CRITIQUE",IF(OR(E250&gt;0,F250&gt;0,G250&gt;0),"🟠 ATTENTION","🟢 OK")))</f>
        <v/>
      </c>
      <c r="J250" s="84">
        <f>IF(A250="","",IFERROR(VLOOKUP(A250,EQUIPEMENTS!A:Q,17,0),""))</f>
        <v/>
      </c>
      <c r="K250" s="84" t="n"/>
    </row>
    <row r="251" ht="15" customHeight="1" s="59">
      <c r="A251" s="87">
        <f>IFERROR(EQUIPEMENTS!A251,"")</f>
        <v/>
      </c>
      <c r="B251" s="87">
        <f>IF(A251="","",IFERROR(VLOOKUP(A251,EQUIPEMENTS!A:B,2,0),""))</f>
        <v/>
      </c>
      <c r="C251" s="87">
        <f>IF(A251="","",IFERROR(VLOOKUP(A251,EQUIPEMENTS!A:D,4,0),""))</f>
        <v/>
      </c>
      <c r="D251" s="87">
        <f>IF(A251="","",IFERROR(VLOOKUP(A251,EQUIPEMENTS!A:M,13,0),""))</f>
        <v/>
      </c>
      <c r="E251" s="87">
        <f>IF(A251="","",COUNTIFS(MAINT_PREV!B:B,A251,MAINT_PREV!G:G,"Planifiée",MAINT_PREV!E:E,"&lt;"&amp;TODAY(),MAINT_PREV!H:H,""))</f>
        <v/>
      </c>
      <c r="F251" s="87">
        <f>IF(A251="","",COUNTIFS(INTERVENTIONS!B:B,A251,INTERVENTIONS!L:L,"Ouverte"))</f>
        <v/>
      </c>
      <c r="G251" s="87">
        <f>IF(A251="","",COUNTIFS(COMPOSANTS!B:B,A251,COMPOSANTS!G:G,"Défectueux"))</f>
        <v/>
      </c>
      <c r="H251" s="87">
        <f>IF(A251="","",IFERROR(VLOOKUP(A251,EQUIPEMENTS!A:R,18,0),""))</f>
        <v/>
      </c>
      <c r="I251" s="87">
        <f>IF(A251="","",IF(AND(C251="Haute",D251="En panne"),"🔴 CRITIQUE",IF(OR(E251&gt;0,F251&gt;0,G251&gt;0),"🟠 ATTENTION","🟢 OK")))</f>
        <v/>
      </c>
      <c r="J251" s="87">
        <f>IF(A251="","",IFERROR(VLOOKUP(A251,EQUIPEMENTS!A:Q,17,0),""))</f>
        <v/>
      </c>
      <c r="K251" s="87" t="n"/>
    </row>
    <row r="252" ht="15" customHeight="1" s="59">
      <c r="A252" s="84">
        <f>IFERROR(EQUIPEMENTS!A252,"")</f>
        <v/>
      </c>
      <c r="B252" s="84">
        <f>IF(A252="","",IFERROR(VLOOKUP(A252,EQUIPEMENTS!A:B,2,0),""))</f>
        <v/>
      </c>
      <c r="C252" s="84">
        <f>IF(A252="","",IFERROR(VLOOKUP(A252,EQUIPEMENTS!A:D,4,0),""))</f>
        <v/>
      </c>
      <c r="D252" s="84">
        <f>IF(A252="","",IFERROR(VLOOKUP(A252,EQUIPEMENTS!A:M,13,0),""))</f>
        <v/>
      </c>
      <c r="E252" s="84">
        <f>IF(A252="","",COUNTIFS(MAINT_PREV!B:B,A252,MAINT_PREV!G:G,"Planifiée",MAINT_PREV!E:E,"&lt;"&amp;TODAY(),MAINT_PREV!H:H,""))</f>
        <v/>
      </c>
      <c r="F252" s="84">
        <f>IF(A252="","",COUNTIFS(INTERVENTIONS!B:B,A252,INTERVENTIONS!L:L,"Ouverte"))</f>
        <v/>
      </c>
      <c r="G252" s="84">
        <f>IF(A252="","",COUNTIFS(COMPOSANTS!B:B,A252,COMPOSANTS!G:G,"Défectueux"))</f>
        <v/>
      </c>
      <c r="H252" s="84">
        <f>IF(A252="","",IFERROR(VLOOKUP(A252,EQUIPEMENTS!A:R,18,0),""))</f>
        <v/>
      </c>
      <c r="I252" s="84">
        <f>IF(A252="","",IF(AND(C252="Haute",D252="En panne"),"🔴 CRITIQUE",IF(OR(E252&gt;0,F252&gt;0,G252&gt;0),"🟠 ATTENTION","🟢 OK")))</f>
        <v/>
      </c>
      <c r="J252" s="84">
        <f>IF(A252="","",IFERROR(VLOOKUP(A252,EQUIPEMENTS!A:Q,17,0),""))</f>
        <v/>
      </c>
      <c r="K252" s="84" t="n"/>
    </row>
    <row r="253" ht="15" customHeight="1" s="59">
      <c r="A253" s="87">
        <f>IFERROR(EQUIPEMENTS!A253,"")</f>
        <v/>
      </c>
      <c r="B253" s="87">
        <f>IF(A253="","",IFERROR(VLOOKUP(A253,EQUIPEMENTS!A:B,2,0),""))</f>
        <v/>
      </c>
      <c r="C253" s="87">
        <f>IF(A253="","",IFERROR(VLOOKUP(A253,EQUIPEMENTS!A:D,4,0),""))</f>
        <v/>
      </c>
      <c r="D253" s="87">
        <f>IF(A253="","",IFERROR(VLOOKUP(A253,EQUIPEMENTS!A:M,13,0),""))</f>
        <v/>
      </c>
      <c r="E253" s="87">
        <f>IF(A253="","",COUNTIFS(MAINT_PREV!B:B,A253,MAINT_PREV!G:G,"Planifiée",MAINT_PREV!E:E,"&lt;"&amp;TODAY(),MAINT_PREV!H:H,""))</f>
        <v/>
      </c>
      <c r="F253" s="87">
        <f>IF(A253="","",COUNTIFS(INTERVENTIONS!B:B,A253,INTERVENTIONS!L:L,"Ouverte"))</f>
        <v/>
      </c>
      <c r="G253" s="87">
        <f>IF(A253="","",COUNTIFS(COMPOSANTS!B:B,A253,COMPOSANTS!G:G,"Défectueux"))</f>
        <v/>
      </c>
      <c r="H253" s="87">
        <f>IF(A253="","",IFERROR(VLOOKUP(A253,EQUIPEMENTS!A:R,18,0),""))</f>
        <v/>
      </c>
      <c r="I253" s="87">
        <f>IF(A253="","",IF(AND(C253="Haute",D253="En panne"),"🔴 CRITIQUE",IF(OR(E253&gt;0,F253&gt;0,G253&gt;0),"🟠 ATTENTION","🟢 OK")))</f>
        <v/>
      </c>
      <c r="J253" s="87">
        <f>IF(A253="","",IFERROR(VLOOKUP(A253,EQUIPEMENTS!A:Q,17,0),""))</f>
        <v/>
      </c>
      <c r="K253" s="87" t="n"/>
    </row>
    <row r="254" ht="15" customHeight="1" s="59">
      <c r="A254" s="84">
        <f>IFERROR(EQUIPEMENTS!A254,"")</f>
        <v/>
      </c>
      <c r="B254" s="84">
        <f>IF(A254="","",IFERROR(VLOOKUP(A254,EQUIPEMENTS!A:B,2,0),""))</f>
        <v/>
      </c>
      <c r="C254" s="84">
        <f>IF(A254="","",IFERROR(VLOOKUP(A254,EQUIPEMENTS!A:D,4,0),""))</f>
        <v/>
      </c>
      <c r="D254" s="84">
        <f>IF(A254="","",IFERROR(VLOOKUP(A254,EQUIPEMENTS!A:M,13,0),""))</f>
        <v/>
      </c>
      <c r="E254" s="84">
        <f>IF(A254="","",COUNTIFS(MAINT_PREV!B:B,A254,MAINT_PREV!G:G,"Planifiée",MAINT_PREV!E:E,"&lt;"&amp;TODAY(),MAINT_PREV!H:H,""))</f>
        <v/>
      </c>
      <c r="F254" s="84">
        <f>IF(A254="","",COUNTIFS(INTERVENTIONS!B:B,A254,INTERVENTIONS!L:L,"Ouverte"))</f>
        <v/>
      </c>
      <c r="G254" s="84">
        <f>IF(A254="","",COUNTIFS(COMPOSANTS!B:B,A254,COMPOSANTS!G:G,"Défectueux"))</f>
        <v/>
      </c>
      <c r="H254" s="84">
        <f>IF(A254="","",IFERROR(VLOOKUP(A254,EQUIPEMENTS!A:R,18,0),""))</f>
        <v/>
      </c>
      <c r="I254" s="84">
        <f>IF(A254="","",IF(AND(C254="Haute",D254="En panne"),"🔴 CRITIQUE",IF(OR(E254&gt;0,F254&gt;0,G254&gt;0),"🟠 ATTENTION","🟢 OK")))</f>
        <v/>
      </c>
      <c r="J254" s="84">
        <f>IF(A254="","",IFERROR(VLOOKUP(A254,EQUIPEMENTS!A:Q,17,0),""))</f>
        <v/>
      </c>
      <c r="K254" s="84" t="n"/>
    </row>
    <row r="255" ht="15" customHeight="1" s="59">
      <c r="A255" s="87">
        <f>IFERROR(EQUIPEMENTS!A255,"")</f>
        <v/>
      </c>
      <c r="B255" s="87">
        <f>IF(A255="","",IFERROR(VLOOKUP(A255,EQUIPEMENTS!A:B,2,0),""))</f>
        <v/>
      </c>
      <c r="C255" s="87">
        <f>IF(A255="","",IFERROR(VLOOKUP(A255,EQUIPEMENTS!A:D,4,0),""))</f>
        <v/>
      </c>
      <c r="D255" s="87">
        <f>IF(A255="","",IFERROR(VLOOKUP(A255,EQUIPEMENTS!A:M,13,0),""))</f>
        <v/>
      </c>
      <c r="E255" s="87">
        <f>IF(A255="","",COUNTIFS(MAINT_PREV!B:B,A255,MAINT_PREV!G:G,"Planifiée",MAINT_PREV!E:E,"&lt;"&amp;TODAY(),MAINT_PREV!H:H,""))</f>
        <v/>
      </c>
      <c r="F255" s="87">
        <f>IF(A255="","",COUNTIFS(INTERVENTIONS!B:B,A255,INTERVENTIONS!L:L,"Ouverte"))</f>
        <v/>
      </c>
      <c r="G255" s="87">
        <f>IF(A255="","",COUNTIFS(COMPOSANTS!B:B,A255,COMPOSANTS!G:G,"Défectueux"))</f>
        <v/>
      </c>
      <c r="H255" s="87">
        <f>IF(A255="","",IFERROR(VLOOKUP(A255,EQUIPEMENTS!A:R,18,0),""))</f>
        <v/>
      </c>
      <c r="I255" s="87">
        <f>IF(A255="","",IF(AND(C255="Haute",D255="En panne"),"🔴 CRITIQUE",IF(OR(E255&gt;0,F255&gt;0,G255&gt;0),"🟠 ATTENTION","🟢 OK")))</f>
        <v/>
      </c>
      <c r="J255" s="87">
        <f>IF(A255="","",IFERROR(VLOOKUP(A255,EQUIPEMENTS!A:Q,17,0),""))</f>
        <v/>
      </c>
      <c r="K255" s="87" t="n"/>
    </row>
    <row r="256" ht="15" customHeight="1" s="59">
      <c r="A256" s="84">
        <f>IFERROR(EQUIPEMENTS!A256,"")</f>
        <v/>
      </c>
      <c r="B256" s="84">
        <f>IF(A256="","",IFERROR(VLOOKUP(A256,EQUIPEMENTS!A:B,2,0),""))</f>
        <v/>
      </c>
      <c r="C256" s="84">
        <f>IF(A256="","",IFERROR(VLOOKUP(A256,EQUIPEMENTS!A:D,4,0),""))</f>
        <v/>
      </c>
      <c r="D256" s="84">
        <f>IF(A256="","",IFERROR(VLOOKUP(A256,EQUIPEMENTS!A:M,13,0),""))</f>
        <v/>
      </c>
      <c r="E256" s="84">
        <f>IF(A256="","",COUNTIFS(MAINT_PREV!B:B,A256,MAINT_PREV!G:G,"Planifiée",MAINT_PREV!E:E,"&lt;"&amp;TODAY(),MAINT_PREV!H:H,""))</f>
        <v/>
      </c>
      <c r="F256" s="84">
        <f>IF(A256="","",COUNTIFS(INTERVENTIONS!B:B,A256,INTERVENTIONS!L:L,"Ouverte"))</f>
        <v/>
      </c>
      <c r="G256" s="84">
        <f>IF(A256="","",COUNTIFS(COMPOSANTS!B:B,A256,COMPOSANTS!G:G,"Défectueux"))</f>
        <v/>
      </c>
      <c r="H256" s="84">
        <f>IF(A256="","",IFERROR(VLOOKUP(A256,EQUIPEMENTS!A:R,18,0),""))</f>
        <v/>
      </c>
      <c r="I256" s="84">
        <f>IF(A256="","",IF(AND(C256="Haute",D256="En panne"),"🔴 CRITIQUE",IF(OR(E256&gt;0,F256&gt;0,G256&gt;0),"🟠 ATTENTION","🟢 OK")))</f>
        <v/>
      </c>
      <c r="J256" s="84">
        <f>IF(A256="","",IFERROR(VLOOKUP(A256,EQUIPEMENTS!A:Q,17,0),""))</f>
        <v/>
      </c>
      <c r="K256" s="84" t="n"/>
    </row>
    <row r="257" ht="15" customHeight="1" s="59">
      <c r="A257" s="87">
        <f>IFERROR(EQUIPEMENTS!A257,"")</f>
        <v/>
      </c>
      <c r="B257" s="87">
        <f>IF(A257="","",IFERROR(VLOOKUP(A257,EQUIPEMENTS!A:B,2,0),""))</f>
        <v/>
      </c>
      <c r="C257" s="87">
        <f>IF(A257="","",IFERROR(VLOOKUP(A257,EQUIPEMENTS!A:D,4,0),""))</f>
        <v/>
      </c>
      <c r="D257" s="87">
        <f>IF(A257="","",IFERROR(VLOOKUP(A257,EQUIPEMENTS!A:M,13,0),""))</f>
        <v/>
      </c>
      <c r="E257" s="87">
        <f>IF(A257="","",COUNTIFS(MAINT_PREV!B:B,A257,MAINT_PREV!G:G,"Planifiée",MAINT_PREV!E:E,"&lt;"&amp;TODAY(),MAINT_PREV!H:H,""))</f>
        <v/>
      </c>
      <c r="F257" s="87">
        <f>IF(A257="","",COUNTIFS(INTERVENTIONS!B:B,A257,INTERVENTIONS!L:L,"Ouverte"))</f>
        <v/>
      </c>
      <c r="G257" s="87">
        <f>IF(A257="","",COUNTIFS(COMPOSANTS!B:B,A257,COMPOSANTS!G:G,"Défectueux"))</f>
        <v/>
      </c>
      <c r="H257" s="87">
        <f>IF(A257="","",IFERROR(VLOOKUP(A257,EQUIPEMENTS!A:R,18,0),""))</f>
        <v/>
      </c>
      <c r="I257" s="87">
        <f>IF(A257="","",IF(AND(C257="Haute",D257="En panne"),"🔴 CRITIQUE",IF(OR(E257&gt;0,F257&gt;0,G257&gt;0),"🟠 ATTENTION","🟢 OK")))</f>
        <v/>
      </c>
      <c r="J257" s="87">
        <f>IF(A257="","",IFERROR(VLOOKUP(A257,EQUIPEMENTS!A:Q,17,0),""))</f>
        <v/>
      </c>
      <c r="K257" s="87" t="n"/>
    </row>
    <row r="258" ht="15" customHeight="1" s="59">
      <c r="A258" s="84">
        <f>IFERROR(EQUIPEMENTS!A258,"")</f>
        <v/>
      </c>
      <c r="B258" s="84">
        <f>IF(A258="","",IFERROR(VLOOKUP(A258,EQUIPEMENTS!A:B,2,0),""))</f>
        <v/>
      </c>
      <c r="C258" s="84">
        <f>IF(A258="","",IFERROR(VLOOKUP(A258,EQUIPEMENTS!A:D,4,0),""))</f>
        <v/>
      </c>
      <c r="D258" s="84">
        <f>IF(A258="","",IFERROR(VLOOKUP(A258,EQUIPEMENTS!A:M,13,0),""))</f>
        <v/>
      </c>
      <c r="E258" s="84">
        <f>IF(A258="","",COUNTIFS(MAINT_PREV!B:B,A258,MAINT_PREV!G:G,"Planifiée",MAINT_PREV!E:E,"&lt;"&amp;TODAY(),MAINT_PREV!H:H,""))</f>
        <v/>
      </c>
      <c r="F258" s="84">
        <f>IF(A258="","",COUNTIFS(INTERVENTIONS!B:B,A258,INTERVENTIONS!L:L,"Ouverte"))</f>
        <v/>
      </c>
      <c r="G258" s="84">
        <f>IF(A258="","",COUNTIFS(COMPOSANTS!B:B,A258,COMPOSANTS!G:G,"Défectueux"))</f>
        <v/>
      </c>
      <c r="H258" s="84">
        <f>IF(A258="","",IFERROR(VLOOKUP(A258,EQUIPEMENTS!A:R,18,0),""))</f>
        <v/>
      </c>
      <c r="I258" s="84">
        <f>IF(A258="","",IF(AND(C258="Haute",D258="En panne"),"🔴 CRITIQUE",IF(OR(E258&gt;0,F258&gt;0,G258&gt;0),"🟠 ATTENTION","🟢 OK")))</f>
        <v/>
      </c>
      <c r="J258" s="84">
        <f>IF(A258="","",IFERROR(VLOOKUP(A258,EQUIPEMENTS!A:Q,17,0),""))</f>
        <v/>
      </c>
      <c r="K258" s="84" t="n"/>
    </row>
    <row r="259" ht="15" customHeight="1" s="59">
      <c r="A259" s="87">
        <f>IFERROR(EQUIPEMENTS!A259,"")</f>
        <v/>
      </c>
      <c r="B259" s="87">
        <f>IF(A259="","",IFERROR(VLOOKUP(A259,EQUIPEMENTS!A:B,2,0),""))</f>
        <v/>
      </c>
      <c r="C259" s="87">
        <f>IF(A259="","",IFERROR(VLOOKUP(A259,EQUIPEMENTS!A:D,4,0),""))</f>
        <v/>
      </c>
      <c r="D259" s="87">
        <f>IF(A259="","",IFERROR(VLOOKUP(A259,EQUIPEMENTS!A:M,13,0),""))</f>
        <v/>
      </c>
      <c r="E259" s="87">
        <f>IF(A259="","",COUNTIFS(MAINT_PREV!B:B,A259,MAINT_PREV!G:G,"Planifiée",MAINT_PREV!E:E,"&lt;"&amp;TODAY(),MAINT_PREV!H:H,""))</f>
        <v/>
      </c>
      <c r="F259" s="87">
        <f>IF(A259="","",COUNTIFS(INTERVENTIONS!B:B,A259,INTERVENTIONS!L:L,"Ouverte"))</f>
        <v/>
      </c>
      <c r="G259" s="87">
        <f>IF(A259="","",COUNTIFS(COMPOSANTS!B:B,A259,COMPOSANTS!G:G,"Défectueux"))</f>
        <v/>
      </c>
      <c r="H259" s="87">
        <f>IF(A259="","",IFERROR(VLOOKUP(A259,EQUIPEMENTS!A:R,18,0),""))</f>
        <v/>
      </c>
      <c r="I259" s="87">
        <f>IF(A259="","",IF(AND(C259="Haute",D259="En panne"),"🔴 CRITIQUE",IF(OR(E259&gt;0,F259&gt;0,G259&gt;0),"🟠 ATTENTION","🟢 OK")))</f>
        <v/>
      </c>
      <c r="J259" s="87">
        <f>IF(A259="","",IFERROR(VLOOKUP(A259,EQUIPEMENTS!A:Q,17,0),""))</f>
        <v/>
      </c>
      <c r="K259" s="87" t="n"/>
    </row>
    <row r="260" ht="15" customHeight="1" s="59">
      <c r="A260" s="84">
        <f>IFERROR(EQUIPEMENTS!A260,"")</f>
        <v/>
      </c>
      <c r="B260" s="84">
        <f>IF(A260="","",IFERROR(VLOOKUP(A260,EQUIPEMENTS!A:B,2,0),""))</f>
        <v/>
      </c>
      <c r="C260" s="84">
        <f>IF(A260="","",IFERROR(VLOOKUP(A260,EQUIPEMENTS!A:D,4,0),""))</f>
        <v/>
      </c>
      <c r="D260" s="84">
        <f>IF(A260="","",IFERROR(VLOOKUP(A260,EQUIPEMENTS!A:M,13,0),""))</f>
        <v/>
      </c>
      <c r="E260" s="84">
        <f>IF(A260="","",COUNTIFS(MAINT_PREV!B:B,A260,MAINT_PREV!G:G,"Planifiée",MAINT_PREV!E:E,"&lt;"&amp;TODAY(),MAINT_PREV!H:H,""))</f>
        <v/>
      </c>
      <c r="F260" s="84">
        <f>IF(A260="","",COUNTIFS(INTERVENTIONS!B:B,A260,INTERVENTIONS!L:L,"Ouverte"))</f>
        <v/>
      </c>
      <c r="G260" s="84">
        <f>IF(A260="","",COUNTIFS(COMPOSANTS!B:B,A260,COMPOSANTS!G:G,"Défectueux"))</f>
        <v/>
      </c>
      <c r="H260" s="84">
        <f>IF(A260="","",IFERROR(VLOOKUP(A260,EQUIPEMENTS!A:R,18,0),""))</f>
        <v/>
      </c>
      <c r="I260" s="84">
        <f>IF(A260="","",IF(AND(C260="Haute",D260="En panne"),"🔴 CRITIQUE",IF(OR(E260&gt;0,F260&gt;0,G260&gt;0),"🟠 ATTENTION","🟢 OK")))</f>
        <v/>
      </c>
      <c r="J260" s="84">
        <f>IF(A260="","",IFERROR(VLOOKUP(A260,EQUIPEMENTS!A:Q,17,0),""))</f>
        <v/>
      </c>
      <c r="K260" s="84" t="n"/>
    </row>
    <row r="261" ht="15" customHeight="1" s="59">
      <c r="A261" s="87">
        <f>IFERROR(EQUIPEMENTS!A261,"")</f>
        <v/>
      </c>
      <c r="B261" s="87">
        <f>IF(A261="","",IFERROR(VLOOKUP(A261,EQUIPEMENTS!A:B,2,0),""))</f>
        <v/>
      </c>
      <c r="C261" s="87">
        <f>IF(A261="","",IFERROR(VLOOKUP(A261,EQUIPEMENTS!A:D,4,0),""))</f>
        <v/>
      </c>
      <c r="D261" s="87">
        <f>IF(A261="","",IFERROR(VLOOKUP(A261,EQUIPEMENTS!A:M,13,0),""))</f>
        <v/>
      </c>
      <c r="E261" s="87">
        <f>IF(A261="","",COUNTIFS(MAINT_PREV!B:B,A261,MAINT_PREV!G:G,"Planifiée",MAINT_PREV!E:E,"&lt;"&amp;TODAY(),MAINT_PREV!H:H,""))</f>
        <v/>
      </c>
      <c r="F261" s="87">
        <f>IF(A261="","",COUNTIFS(INTERVENTIONS!B:B,A261,INTERVENTIONS!L:L,"Ouverte"))</f>
        <v/>
      </c>
      <c r="G261" s="87">
        <f>IF(A261="","",COUNTIFS(COMPOSANTS!B:B,A261,COMPOSANTS!G:G,"Défectueux"))</f>
        <v/>
      </c>
      <c r="H261" s="87">
        <f>IF(A261="","",IFERROR(VLOOKUP(A261,EQUIPEMENTS!A:R,18,0),""))</f>
        <v/>
      </c>
      <c r="I261" s="87">
        <f>IF(A261="","",IF(AND(C261="Haute",D261="En panne"),"🔴 CRITIQUE",IF(OR(E261&gt;0,F261&gt;0,G261&gt;0),"🟠 ATTENTION","🟢 OK")))</f>
        <v/>
      </c>
      <c r="J261" s="87">
        <f>IF(A261="","",IFERROR(VLOOKUP(A261,EQUIPEMENTS!A:Q,17,0),""))</f>
        <v/>
      </c>
      <c r="K261" s="87" t="n"/>
    </row>
    <row r="262" ht="15" customHeight="1" s="59">
      <c r="A262" s="84">
        <f>IFERROR(EQUIPEMENTS!A262,"")</f>
        <v/>
      </c>
      <c r="B262" s="84">
        <f>IF(A262="","",IFERROR(VLOOKUP(A262,EQUIPEMENTS!A:B,2,0),""))</f>
        <v/>
      </c>
      <c r="C262" s="84">
        <f>IF(A262="","",IFERROR(VLOOKUP(A262,EQUIPEMENTS!A:D,4,0),""))</f>
        <v/>
      </c>
      <c r="D262" s="84">
        <f>IF(A262="","",IFERROR(VLOOKUP(A262,EQUIPEMENTS!A:M,13,0),""))</f>
        <v/>
      </c>
      <c r="E262" s="84">
        <f>IF(A262="","",COUNTIFS(MAINT_PREV!B:B,A262,MAINT_PREV!G:G,"Planifiée",MAINT_PREV!E:E,"&lt;"&amp;TODAY(),MAINT_PREV!H:H,""))</f>
        <v/>
      </c>
      <c r="F262" s="84">
        <f>IF(A262="","",COUNTIFS(INTERVENTIONS!B:B,A262,INTERVENTIONS!L:L,"Ouverte"))</f>
        <v/>
      </c>
      <c r="G262" s="84">
        <f>IF(A262="","",COUNTIFS(COMPOSANTS!B:B,A262,COMPOSANTS!G:G,"Défectueux"))</f>
        <v/>
      </c>
      <c r="H262" s="84">
        <f>IF(A262="","",IFERROR(VLOOKUP(A262,EQUIPEMENTS!A:R,18,0),""))</f>
        <v/>
      </c>
      <c r="I262" s="84">
        <f>IF(A262="","",IF(AND(C262="Haute",D262="En panne"),"🔴 CRITIQUE",IF(OR(E262&gt;0,F262&gt;0,G262&gt;0),"🟠 ATTENTION","🟢 OK")))</f>
        <v/>
      </c>
      <c r="J262" s="84">
        <f>IF(A262="","",IFERROR(VLOOKUP(A262,EQUIPEMENTS!A:Q,17,0),""))</f>
        <v/>
      </c>
      <c r="K262" s="84" t="n"/>
    </row>
    <row r="263" ht="15" customHeight="1" s="59">
      <c r="A263" s="87">
        <f>IFERROR(EQUIPEMENTS!A263,"")</f>
        <v/>
      </c>
      <c r="B263" s="87">
        <f>IF(A263="","",IFERROR(VLOOKUP(A263,EQUIPEMENTS!A:B,2,0),""))</f>
        <v/>
      </c>
      <c r="C263" s="87">
        <f>IF(A263="","",IFERROR(VLOOKUP(A263,EQUIPEMENTS!A:D,4,0),""))</f>
        <v/>
      </c>
      <c r="D263" s="87">
        <f>IF(A263="","",IFERROR(VLOOKUP(A263,EQUIPEMENTS!A:M,13,0),""))</f>
        <v/>
      </c>
      <c r="E263" s="87">
        <f>IF(A263="","",COUNTIFS(MAINT_PREV!B:B,A263,MAINT_PREV!G:G,"Planifiée",MAINT_PREV!E:E,"&lt;"&amp;TODAY(),MAINT_PREV!H:H,""))</f>
        <v/>
      </c>
      <c r="F263" s="87">
        <f>IF(A263="","",COUNTIFS(INTERVENTIONS!B:B,A263,INTERVENTIONS!L:L,"Ouverte"))</f>
        <v/>
      </c>
      <c r="G263" s="87">
        <f>IF(A263="","",COUNTIFS(COMPOSANTS!B:B,A263,COMPOSANTS!G:G,"Défectueux"))</f>
        <v/>
      </c>
      <c r="H263" s="87">
        <f>IF(A263="","",IFERROR(VLOOKUP(A263,EQUIPEMENTS!A:R,18,0),""))</f>
        <v/>
      </c>
      <c r="I263" s="87">
        <f>IF(A263="","",IF(AND(C263="Haute",D263="En panne"),"🔴 CRITIQUE",IF(OR(E263&gt;0,F263&gt;0,G263&gt;0),"🟠 ATTENTION","🟢 OK")))</f>
        <v/>
      </c>
      <c r="J263" s="87">
        <f>IF(A263="","",IFERROR(VLOOKUP(A263,EQUIPEMENTS!A:Q,17,0),""))</f>
        <v/>
      </c>
      <c r="K263" s="87" t="n"/>
    </row>
    <row r="264" ht="15" customHeight="1" s="59">
      <c r="A264" s="84">
        <f>IFERROR(EQUIPEMENTS!A264,"")</f>
        <v/>
      </c>
      <c r="B264" s="84">
        <f>IF(A264="","",IFERROR(VLOOKUP(A264,EQUIPEMENTS!A:B,2,0),""))</f>
        <v/>
      </c>
      <c r="C264" s="84">
        <f>IF(A264="","",IFERROR(VLOOKUP(A264,EQUIPEMENTS!A:D,4,0),""))</f>
        <v/>
      </c>
      <c r="D264" s="84">
        <f>IF(A264="","",IFERROR(VLOOKUP(A264,EQUIPEMENTS!A:M,13,0),""))</f>
        <v/>
      </c>
      <c r="E264" s="84">
        <f>IF(A264="","",COUNTIFS(MAINT_PREV!B:B,A264,MAINT_PREV!G:G,"Planifiée",MAINT_PREV!E:E,"&lt;"&amp;TODAY(),MAINT_PREV!H:H,""))</f>
        <v/>
      </c>
      <c r="F264" s="84">
        <f>IF(A264="","",COUNTIFS(INTERVENTIONS!B:B,A264,INTERVENTIONS!L:L,"Ouverte"))</f>
        <v/>
      </c>
      <c r="G264" s="84">
        <f>IF(A264="","",COUNTIFS(COMPOSANTS!B:B,A264,COMPOSANTS!G:G,"Défectueux"))</f>
        <v/>
      </c>
      <c r="H264" s="84">
        <f>IF(A264="","",IFERROR(VLOOKUP(A264,EQUIPEMENTS!A:R,18,0),""))</f>
        <v/>
      </c>
      <c r="I264" s="84">
        <f>IF(A264="","",IF(AND(C264="Haute",D264="En panne"),"🔴 CRITIQUE",IF(OR(E264&gt;0,F264&gt;0,G264&gt;0),"🟠 ATTENTION","🟢 OK")))</f>
        <v/>
      </c>
      <c r="J264" s="84">
        <f>IF(A264="","",IFERROR(VLOOKUP(A264,EQUIPEMENTS!A:Q,17,0),""))</f>
        <v/>
      </c>
      <c r="K264" s="84" t="n"/>
    </row>
    <row r="265" ht="15" customHeight="1" s="59">
      <c r="A265" s="87">
        <f>IFERROR(EQUIPEMENTS!A265,"")</f>
        <v/>
      </c>
      <c r="B265" s="87">
        <f>IF(A265="","",IFERROR(VLOOKUP(A265,EQUIPEMENTS!A:B,2,0),""))</f>
        <v/>
      </c>
      <c r="C265" s="87">
        <f>IF(A265="","",IFERROR(VLOOKUP(A265,EQUIPEMENTS!A:D,4,0),""))</f>
        <v/>
      </c>
      <c r="D265" s="87">
        <f>IF(A265="","",IFERROR(VLOOKUP(A265,EQUIPEMENTS!A:M,13,0),""))</f>
        <v/>
      </c>
      <c r="E265" s="87">
        <f>IF(A265="","",COUNTIFS(MAINT_PREV!B:B,A265,MAINT_PREV!G:G,"Planifiée",MAINT_PREV!E:E,"&lt;"&amp;TODAY(),MAINT_PREV!H:H,""))</f>
        <v/>
      </c>
      <c r="F265" s="87">
        <f>IF(A265="","",COUNTIFS(INTERVENTIONS!B:B,A265,INTERVENTIONS!L:L,"Ouverte"))</f>
        <v/>
      </c>
      <c r="G265" s="87">
        <f>IF(A265="","",COUNTIFS(COMPOSANTS!B:B,A265,COMPOSANTS!G:G,"Défectueux"))</f>
        <v/>
      </c>
      <c r="H265" s="87">
        <f>IF(A265="","",IFERROR(VLOOKUP(A265,EQUIPEMENTS!A:R,18,0),""))</f>
        <v/>
      </c>
      <c r="I265" s="87">
        <f>IF(A265="","",IF(AND(C265="Haute",D265="En panne"),"🔴 CRITIQUE",IF(OR(E265&gt;0,F265&gt;0,G265&gt;0),"🟠 ATTENTION","🟢 OK")))</f>
        <v/>
      </c>
      <c r="J265" s="87">
        <f>IF(A265="","",IFERROR(VLOOKUP(A265,EQUIPEMENTS!A:Q,17,0),""))</f>
        <v/>
      </c>
      <c r="K265" s="87" t="n"/>
    </row>
    <row r="266" ht="15" customHeight="1" s="59">
      <c r="A266" s="84">
        <f>IFERROR(EQUIPEMENTS!A266,"")</f>
        <v/>
      </c>
      <c r="B266" s="84">
        <f>IF(A266="","",IFERROR(VLOOKUP(A266,EQUIPEMENTS!A:B,2,0),""))</f>
        <v/>
      </c>
      <c r="C266" s="84">
        <f>IF(A266="","",IFERROR(VLOOKUP(A266,EQUIPEMENTS!A:D,4,0),""))</f>
        <v/>
      </c>
      <c r="D266" s="84">
        <f>IF(A266="","",IFERROR(VLOOKUP(A266,EQUIPEMENTS!A:M,13,0),""))</f>
        <v/>
      </c>
      <c r="E266" s="84">
        <f>IF(A266="","",COUNTIFS(MAINT_PREV!B:B,A266,MAINT_PREV!G:G,"Planifiée",MAINT_PREV!E:E,"&lt;"&amp;TODAY(),MAINT_PREV!H:H,""))</f>
        <v/>
      </c>
      <c r="F266" s="84">
        <f>IF(A266="","",COUNTIFS(INTERVENTIONS!B:B,A266,INTERVENTIONS!L:L,"Ouverte"))</f>
        <v/>
      </c>
      <c r="G266" s="84">
        <f>IF(A266="","",COUNTIFS(COMPOSANTS!B:B,A266,COMPOSANTS!G:G,"Défectueux"))</f>
        <v/>
      </c>
      <c r="H266" s="84">
        <f>IF(A266="","",IFERROR(VLOOKUP(A266,EQUIPEMENTS!A:R,18,0),""))</f>
        <v/>
      </c>
      <c r="I266" s="84">
        <f>IF(A266="","",IF(AND(C266="Haute",D266="En panne"),"🔴 CRITIQUE",IF(OR(E266&gt;0,F266&gt;0,G266&gt;0),"🟠 ATTENTION","🟢 OK")))</f>
        <v/>
      </c>
      <c r="J266" s="84">
        <f>IF(A266="","",IFERROR(VLOOKUP(A266,EQUIPEMENTS!A:Q,17,0),""))</f>
        <v/>
      </c>
      <c r="K266" s="84" t="n"/>
    </row>
    <row r="267" ht="15" customHeight="1" s="59">
      <c r="A267" s="87">
        <f>IFERROR(EQUIPEMENTS!A267,"")</f>
        <v/>
      </c>
      <c r="B267" s="87">
        <f>IF(A267="","",IFERROR(VLOOKUP(A267,EQUIPEMENTS!A:B,2,0),""))</f>
        <v/>
      </c>
      <c r="C267" s="87">
        <f>IF(A267="","",IFERROR(VLOOKUP(A267,EQUIPEMENTS!A:D,4,0),""))</f>
        <v/>
      </c>
      <c r="D267" s="87">
        <f>IF(A267="","",IFERROR(VLOOKUP(A267,EQUIPEMENTS!A:M,13,0),""))</f>
        <v/>
      </c>
      <c r="E267" s="87">
        <f>IF(A267="","",COUNTIFS(MAINT_PREV!B:B,A267,MAINT_PREV!G:G,"Planifiée",MAINT_PREV!E:E,"&lt;"&amp;TODAY(),MAINT_PREV!H:H,""))</f>
        <v/>
      </c>
      <c r="F267" s="87">
        <f>IF(A267="","",COUNTIFS(INTERVENTIONS!B:B,A267,INTERVENTIONS!L:L,"Ouverte"))</f>
        <v/>
      </c>
      <c r="G267" s="87">
        <f>IF(A267="","",COUNTIFS(COMPOSANTS!B:B,A267,COMPOSANTS!G:G,"Défectueux"))</f>
        <v/>
      </c>
      <c r="H267" s="87">
        <f>IF(A267="","",IFERROR(VLOOKUP(A267,EQUIPEMENTS!A:R,18,0),""))</f>
        <v/>
      </c>
      <c r="I267" s="87">
        <f>IF(A267="","",IF(AND(C267="Haute",D267="En panne"),"🔴 CRITIQUE",IF(OR(E267&gt;0,F267&gt;0,G267&gt;0),"🟠 ATTENTION","🟢 OK")))</f>
        <v/>
      </c>
      <c r="J267" s="87">
        <f>IF(A267="","",IFERROR(VLOOKUP(A267,EQUIPEMENTS!A:Q,17,0),""))</f>
        <v/>
      </c>
      <c r="K267" s="87" t="n"/>
    </row>
    <row r="268" ht="15" customHeight="1" s="59">
      <c r="A268" s="84">
        <f>IFERROR(EQUIPEMENTS!A268,"")</f>
        <v/>
      </c>
      <c r="B268" s="84">
        <f>IF(A268="","",IFERROR(VLOOKUP(A268,EQUIPEMENTS!A:B,2,0),""))</f>
        <v/>
      </c>
      <c r="C268" s="84">
        <f>IF(A268="","",IFERROR(VLOOKUP(A268,EQUIPEMENTS!A:D,4,0),""))</f>
        <v/>
      </c>
      <c r="D268" s="84">
        <f>IF(A268="","",IFERROR(VLOOKUP(A268,EQUIPEMENTS!A:M,13,0),""))</f>
        <v/>
      </c>
      <c r="E268" s="84">
        <f>IF(A268="","",COUNTIFS(MAINT_PREV!B:B,A268,MAINT_PREV!G:G,"Planifiée",MAINT_PREV!E:E,"&lt;"&amp;TODAY(),MAINT_PREV!H:H,""))</f>
        <v/>
      </c>
      <c r="F268" s="84">
        <f>IF(A268="","",COUNTIFS(INTERVENTIONS!B:B,A268,INTERVENTIONS!L:L,"Ouverte"))</f>
        <v/>
      </c>
      <c r="G268" s="84">
        <f>IF(A268="","",COUNTIFS(COMPOSANTS!B:B,A268,COMPOSANTS!G:G,"Défectueux"))</f>
        <v/>
      </c>
      <c r="H268" s="84">
        <f>IF(A268="","",IFERROR(VLOOKUP(A268,EQUIPEMENTS!A:R,18,0),""))</f>
        <v/>
      </c>
      <c r="I268" s="84">
        <f>IF(A268="","",IF(AND(C268="Haute",D268="En panne"),"🔴 CRITIQUE",IF(OR(E268&gt;0,F268&gt;0,G268&gt;0),"🟠 ATTENTION","🟢 OK")))</f>
        <v/>
      </c>
      <c r="J268" s="84">
        <f>IF(A268="","",IFERROR(VLOOKUP(A268,EQUIPEMENTS!A:Q,17,0),""))</f>
        <v/>
      </c>
      <c r="K268" s="84" t="n"/>
    </row>
    <row r="269" ht="15" customHeight="1" s="59">
      <c r="A269" s="87">
        <f>IFERROR(EQUIPEMENTS!A269,"")</f>
        <v/>
      </c>
      <c r="B269" s="87">
        <f>IF(A269="","",IFERROR(VLOOKUP(A269,EQUIPEMENTS!A:B,2,0),""))</f>
        <v/>
      </c>
      <c r="C269" s="87">
        <f>IF(A269="","",IFERROR(VLOOKUP(A269,EQUIPEMENTS!A:D,4,0),""))</f>
        <v/>
      </c>
      <c r="D269" s="87">
        <f>IF(A269="","",IFERROR(VLOOKUP(A269,EQUIPEMENTS!A:M,13,0),""))</f>
        <v/>
      </c>
      <c r="E269" s="87">
        <f>IF(A269="","",COUNTIFS(MAINT_PREV!B:B,A269,MAINT_PREV!G:G,"Planifiée",MAINT_PREV!E:E,"&lt;"&amp;TODAY(),MAINT_PREV!H:H,""))</f>
        <v/>
      </c>
      <c r="F269" s="87">
        <f>IF(A269="","",COUNTIFS(INTERVENTIONS!B:B,A269,INTERVENTIONS!L:L,"Ouverte"))</f>
        <v/>
      </c>
      <c r="G269" s="87">
        <f>IF(A269="","",COUNTIFS(COMPOSANTS!B:B,A269,COMPOSANTS!G:G,"Défectueux"))</f>
        <v/>
      </c>
      <c r="H269" s="87">
        <f>IF(A269="","",IFERROR(VLOOKUP(A269,EQUIPEMENTS!A:R,18,0),""))</f>
        <v/>
      </c>
      <c r="I269" s="87">
        <f>IF(A269="","",IF(AND(C269="Haute",D269="En panne"),"🔴 CRITIQUE",IF(OR(E269&gt;0,F269&gt;0,G269&gt;0),"🟠 ATTENTION","🟢 OK")))</f>
        <v/>
      </c>
      <c r="J269" s="87">
        <f>IF(A269="","",IFERROR(VLOOKUP(A269,EQUIPEMENTS!A:Q,17,0),""))</f>
        <v/>
      </c>
      <c r="K269" s="87" t="n"/>
    </row>
    <row r="270" ht="15" customHeight="1" s="59">
      <c r="A270" s="84">
        <f>IFERROR(EQUIPEMENTS!A270,"")</f>
        <v/>
      </c>
      <c r="B270" s="84">
        <f>IF(A270="","",IFERROR(VLOOKUP(A270,EQUIPEMENTS!A:B,2,0),""))</f>
        <v/>
      </c>
      <c r="C270" s="84">
        <f>IF(A270="","",IFERROR(VLOOKUP(A270,EQUIPEMENTS!A:D,4,0),""))</f>
        <v/>
      </c>
      <c r="D270" s="84">
        <f>IF(A270="","",IFERROR(VLOOKUP(A270,EQUIPEMENTS!A:M,13,0),""))</f>
        <v/>
      </c>
      <c r="E270" s="84">
        <f>IF(A270="","",COUNTIFS(MAINT_PREV!B:B,A270,MAINT_PREV!G:G,"Planifiée",MAINT_PREV!E:E,"&lt;"&amp;TODAY(),MAINT_PREV!H:H,""))</f>
        <v/>
      </c>
      <c r="F270" s="84">
        <f>IF(A270="","",COUNTIFS(INTERVENTIONS!B:B,A270,INTERVENTIONS!L:L,"Ouverte"))</f>
        <v/>
      </c>
      <c r="G270" s="84">
        <f>IF(A270="","",COUNTIFS(COMPOSANTS!B:B,A270,COMPOSANTS!G:G,"Défectueux"))</f>
        <v/>
      </c>
      <c r="H270" s="84">
        <f>IF(A270="","",IFERROR(VLOOKUP(A270,EQUIPEMENTS!A:R,18,0),""))</f>
        <v/>
      </c>
      <c r="I270" s="84">
        <f>IF(A270="","",IF(AND(C270="Haute",D270="En panne"),"🔴 CRITIQUE",IF(OR(E270&gt;0,F270&gt;0,G270&gt;0),"🟠 ATTENTION","🟢 OK")))</f>
        <v/>
      </c>
      <c r="J270" s="84">
        <f>IF(A270="","",IFERROR(VLOOKUP(A270,EQUIPEMENTS!A:Q,17,0),""))</f>
        <v/>
      </c>
      <c r="K270" s="84" t="n"/>
    </row>
    <row r="271" ht="15" customHeight="1" s="59">
      <c r="A271" s="87">
        <f>IFERROR(EQUIPEMENTS!A271,"")</f>
        <v/>
      </c>
      <c r="B271" s="87">
        <f>IF(A271="","",IFERROR(VLOOKUP(A271,EQUIPEMENTS!A:B,2,0),""))</f>
        <v/>
      </c>
      <c r="C271" s="87">
        <f>IF(A271="","",IFERROR(VLOOKUP(A271,EQUIPEMENTS!A:D,4,0),""))</f>
        <v/>
      </c>
      <c r="D271" s="87">
        <f>IF(A271="","",IFERROR(VLOOKUP(A271,EQUIPEMENTS!A:M,13,0),""))</f>
        <v/>
      </c>
      <c r="E271" s="87">
        <f>IF(A271="","",COUNTIFS(MAINT_PREV!B:B,A271,MAINT_PREV!G:G,"Planifiée",MAINT_PREV!E:E,"&lt;"&amp;TODAY(),MAINT_PREV!H:H,""))</f>
        <v/>
      </c>
      <c r="F271" s="87">
        <f>IF(A271="","",COUNTIFS(INTERVENTIONS!B:B,A271,INTERVENTIONS!L:L,"Ouverte"))</f>
        <v/>
      </c>
      <c r="G271" s="87">
        <f>IF(A271="","",COUNTIFS(COMPOSANTS!B:B,A271,COMPOSANTS!G:G,"Défectueux"))</f>
        <v/>
      </c>
      <c r="H271" s="87">
        <f>IF(A271="","",IFERROR(VLOOKUP(A271,EQUIPEMENTS!A:R,18,0),""))</f>
        <v/>
      </c>
      <c r="I271" s="87">
        <f>IF(A271="","",IF(AND(C271="Haute",D271="En panne"),"🔴 CRITIQUE",IF(OR(E271&gt;0,F271&gt;0,G271&gt;0),"🟠 ATTENTION","🟢 OK")))</f>
        <v/>
      </c>
      <c r="J271" s="87">
        <f>IF(A271="","",IFERROR(VLOOKUP(A271,EQUIPEMENTS!A:Q,17,0),""))</f>
        <v/>
      </c>
      <c r="K271" s="87" t="n"/>
    </row>
    <row r="272" ht="15" customHeight="1" s="59">
      <c r="A272" s="84">
        <f>IFERROR(EQUIPEMENTS!A272,"")</f>
        <v/>
      </c>
      <c r="B272" s="84">
        <f>IF(A272="","",IFERROR(VLOOKUP(A272,EQUIPEMENTS!A:B,2,0),""))</f>
        <v/>
      </c>
      <c r="C272" s="84">
        <f>IF(A272="","",IFERROR(VLOOKUP(A272,EQUIPEMENTS!A:D,4,0),""))</f>
        <v/>
      </c>
      <c r="D272" s="84">
        <f>IF(A272="","",IFERROR(VLOOKUP(A272,EQUIPEMENTS!A:M,13,0),""))</f>
        <v/>
      </c>
      <c r="E272" s="84">
        <f>IF(A272="","",COUNTIFS(MAINT_PREV!B:B,A272,MAINT_PREV!G:G,"Planifiée",MAINT_PREV!E:E,"&lt;"&amp;TODAY(),MAINT_PREV!H:H,""))</f>
        <v/>
      </c>
      <c r="F272" s="84">
        <f>IF(A272="","",COUNTIFS(INTERVENTIONS!B:B,A272,INTERVENTIONS!L:L,"Ouverte"))</f>
        <v/>
      </c>
      <c r="G272" s="84">
        <f>IF(A272="","",COUNTIFS(COMPOSANTS!B:B,A272,COMPOSANTS!G:G,"Défectueux"))</f>
        <v/>
      </c>
      <c r="H272" s="84">
        <f>IF(A272="","",IFERROR(VLOOKUP(A272,EQUIPEMENTS!A:R,18,0),""))</f>
        <v/>
      </c>
      <c r="I272" s="84">
        <f>IF(A272="","",IF(AND(C272="Haute",D272="En panne"),"🔴 CRITIQUE",IF(OR(E272&gt;0,F272&gt;0,G272&gt;0),"🟠 ATTENTION","🟢 OK")))</f>
        <v/>
      </c>
      <c r="J272" s="84">
        <f>IF(A272="","",IFERROR(VLOOKUP(A272,EQUIPEMENTS!A:Q,17,0),""))</f>
        <v/>
      </c>
      <c r="K272" s="84" t="n"/>
    </row>
    <row r="273" ht="15" customHeight="1" s="59">
      <c r="A273" s="87">
        <f>IFERROR(EQUIPEMENTS!A273,"")</f>
        <v/>
      </c>
      <c r="B273" s="87">
        <f>IF(A273="","",IFERROR(VLOOKUP(A273,EQUIPEMENTS!A:B,2,0),""))</f>
        <v/>
      </c>
      <c r="C273" s="87">
        <f>IF(A273="","",IFERROR(VLOOKUP(A273,EQUIPEMENTS!A:D,4,0),""))</f>
        <v/>
      </c>
      <c r="D273" s="87">
        <f>IF(A273="","",IFERROR(VLOOKUP(A273,EQUIPEMENTS!A:M,13,0),""))</f>
        <v/>
      </c>
      <c r="E273" s="87">
        <f>IF(A273="","",COUNTIFS(MAINT_PREV!B:B,A273,MAINT_PREV!G:G,"Planifiée",MAINT_PREV!E:E,"&lt;"&amp;TODAY(),MAINT_PREV!H:H,""))</f>
        <v/>
      </c>
      <c r="F273" s="87">
        <f>IF(A273="","",COUNTIFS(INTERVENTIONS!B:B,A273,INTERVENTIONS!L:L,"Ouverte"))</f>
        <v/>
      </c>
      <c r="G273" s="87">
        <f>IF(A273="","",COUNTIFS(COMPOSANTS!B:B,A273,COMPOSANTS!G:G,"Défectueux"))</f>
        <v/>
      </c>
      <c r="H273" s="87">
        <f>IF(A273="","",IFERROR(VLOOKUP(A273,EQUIPEMENTS!A:R,18,0),""))</f>
        <v/>
      </c>
      <c r="I273" s="87">
        <f>IF(A273="","",IF(AND(C273="Haute",D273="En panne"),"🔴 CRITIQUE",IF(OR(E273&gt;0,F273&gt;0,G273&gt;0),"🟠 ATTENTION","🟢 OK")))</f>
        <v/>
      </c>
      <c r="J273" s="87">
        <f>IF(A273="","",IFERROR(VLOOKUP(A273,EQUIPEMENTS!A:Q,17,0),""))</f>
        <v/>
      </c>
      <c r="K273" s="87" t="n"/>
    </row>
    <row r="274" ht="15" customHeight="1" s="59">
      <c r="A274" s="84">
        <f>IFERROR(EQUIPEMENTS!A274,"")</f>
        <v/>
      </c>
      <c r="B274" s="84">
        <f>IF(A274="","",IFERROR(VLOOKUP(A274,EQUIPEMENTS!A:B,2,0),""))</f>
        <v/>
      </c>
      <c r="C274" s="84">
        <f>IF(A274="","",IFERROR(VLOOKUP(A274,EQUIPEMENTS!A:D,4,0),""))</f>
        <v/>
      </c>
      <c r="D274" s="84">
        <f>IF(A274="","",IFERROR(VLOOKUP(A274,EQUIPEMENTS!A:M,13,0),""))</f>
        <v/>
      </c>
      <c r="E274" s="84">
        <f>IF(A274="","",COUNTIFS(MAINT_PREV!B:B,A274,MAINT_PREV!G:G,"Planifiée",MAINT_PREV!E:E,"&lt;"&amp;TODAY(),MAINT_PREV!H:H,""))</f>
        <v/>
      </c>
      <c r="F274" s="84">
        <f>IF(A274="","",COUNTIFS(INTERVENTIONS!B:B,A274,INTERVENTIONS!L:L,"Ouverte"))</f>
        <v/>
      </c>
      <c r="G274" s="84">
        <f>IF(A274="","",COUNTIFS(COMPOSANTS!B:B,A274,COMPOSANTS!G:G,"Défectueux"))</f>
        <v/>
      </c>
      <c r="H274" s="84">
        <f>IF(A274="","",IFERROR(VLOOKUP(A274,EQUIPEMENTS!A:R,18,0),""))</f>
        <v/>
      </c>
      <c r="I274" s="84">
        <f>IF(A274="","",IF(AND(C274="Haute",D274="En panne"),"🔴 CRITIQUE",IF(OR(E274&gt;0,F274&gt;0,G274&gt;0),"🟠 ATTENTION","🟢 OK")))</f>
        <v/>
      </c>
      <c r="J274" s="84">
        <f>IF(A274="","",IFERROR(VLOOKUP(A274,EQUIPEMENTS!A:Q,17,0),""))</f>
        <v/>
      </c>
      <c r="K274" s="84" t="n"/>
    </row>
    <row r="275" ht="15" customHeight="1" s="59">
      <c r="A275" s="87">
        <f>IFERROR(EQUIPEMENTS!A275,"")</f>
        <v/>
      </c>
      <c r="B275" s="87">
        <f>IF(A275="","",IFERROR(VLOOKUP(A275,EQUIPEMENTS!A:B,2,0),""))</f>
        <v/>
      </c>
      <c r="C275" s="87">
        <f>IF(A275="","",IFERROR(VLOOKUP(A275,EQUIPEMENTS!A:D,4,0),""))</f>
        <v/>
      </c>
      <c r="D275" s="87">
        <f>IF(A275="","",IFERROR(VLOOKUP(A275,EQUIPEMENTS!A:M,13,0),""))</f>
        <v/>
      </c>
      <c r="E275" s="87">
        <f>IF(A275="","",COUNTIFS(MAINT_PREV!B:B,A275,MAINT_PREV!G:G,"Planifiée",MAINT_PREV!E:E,"&lt;"&amp;TODAY(),MAINT_PREV!H:H,""))</f>
        <v/>
      </c>
      <c r="F275" s="87">
        <f>IF(A275="","",COUNTIFS(INTERVENTIONS!B:B,A275,INTERVENTIONS!L:L,"Ouverte"))</f>
        <v/>
      </c>
      <c r="G275" s="87">
        <f>IF(A275="","",COUNTIFS(COMPOSANTS!B:B,A275,COMPOSANTS!G:G,"Défectueux"))</f>
        <v/>
      </c>
      <c r="H275" s="87">
        <f>IF(A275="","",IFERROR(VLOOKUP(A275,EQUIPEMENTS!A:R,18,0),""))</f>
        <v/>
      </c>
      <c r="I275" s="87">
        <f>IF(A275="","",IF(AND(C275="Haute",D275="En panne"),"🔴 CRITIQUE",IF(OR(E275&gt;0,F275&gt;0,G275&gt;0),"🟠 ATTENTION","🟢 OK")))</f>
        <v/>
      </c>
      <c r="J275" s="87">
        <f>IF(A275="","",IFERROR(VLOOKUP(A275,EQUIPEMENTS!A:Q,17,0),""))</f>
        <v/>
      </c>
      <c r="K275" s="87" t="n"/>
    </row>
    <row r="276" ht="15" customHeight="1" s="59">
      <c r="A276" s="84">
        <f>IFERROR(EQUIPEMENTS!A276,"")</f>
        <v/>
      </c>
      <c r="B276" s="84">
        <f>IF(A276="","",IFERROR(VLOOKUP(A276,EQUIPEMENTS!A:B,2,0),""))</f>
        <v/>
      </c>
      <c r="C276" s="84">
        <f>IF(A276="","",IFERROR(VLOOKUP(A276,EQUIPEMENTS!A:D,4,0),""))</f>
        <v/>
      </c>
      <c r="D276" s="84">
        <f>IF(A276="","",IFERROR(VLOOKUP(A276,EQUIPEMENTS!A:M,13,0),""))</f>
        <v/>
      </c>
      <c r="E276" s="84">
        <f>IF(A276="","",COUNTIFS(MAINT_PREV!B:B,A276,MAINT_PREV!G:G,"Planifiée",MAINT_PREV!E:E,"&lt;"&amp;TODAY(),MAINT_PREV!H:H,""))</f>
        <v/>
      </c>
      <c r="F276" s="84">
        <f>IF(A276="","",COUNTIFS(INTERVENTIONS!B:B,A276,INTERVENTIONS!L:L,"Ouverte"))</f>
        <v/>
      </c>
      <c r="G276" s="84">
        <f>IF(A276="","",COUNTIFS(COMPOSANTS!B:B,A276,COMPOSANTS!G:G,"Défectueux"))</f>
        <v/>
      </c>
      <c r="H276" s="84">
        <f>IF(A276="","",IFERROR(VLOOKUP(A276,EQUIPEMENTS!A:R,18,0),""))</f>
        <v/>
      </c>
      <c r="I276" s="84">
        <f>IF(A276="","",IF(AND(C276="Haute",D276="En panne"),"🔴 CRITIQUE",IF(OR(E276&gt;0,F276&gt;0,G276&gt;0),"🟠 ATTENTION","🟢 OK")))</f>
        <v/>
      </c>
      <c r="J276" s="84">
        <f>IF(A276="","",IFERROR(VLOOKUP(A276,EQUIPEMENTS!A:Q,17,0),""))</f>
        <v/>
      </c>
      <c r="K276" s="84" t="n"/>
    </row>
    <row r="277" ht="15" customHeight="1" s="59">
      <c r="A277" s="87">
        <f>IFERROR(EQUIPEMENTS!A277,"")</f>
        <v/>
      </c>
      <c r="B277" s="87">
        <f>IF(A277="","",IFERROR(VLOOKUP(A277,EQUIPEMENTS!A:B,2,0),""))</f>
        <v/>
      </c>
      <c r="C277" s="87">
        <f>IF(A277="","",IFERROR(VLOOKUP(A277,EQUIPEMENTS!A:D,4,0),""))</f>
        <v/>
      </c>
      <c r="D277" s="87">
        <f>IF(A277="","",IFERROR(VLOOKUP(A277,EQUIPEMENTS!A:M,13,0),""))</f>
        <v/>
      </c>
      <c r="E277" s="87">
        <f>IF(A277="","",COUNTIFS(MAINT_PREV!B:B,A277,MAINT_PREV!G:G,"Planifiée",MAINT_PREV!E:E,"&lt;"&amp;TODAY(),MAINT_PREV!H:H,""))</f>
        <v/>
      </c>
      <c r="F277" s="87">
        <f>IF(A277="","",COUNTIFS(INTERVENTIONS!B:B,A277,INTERVENTIONS!L:L,"Ouverte"))</f>
        <v/>
      </c>
      <c r="G277" s="87">
        <f>IF(A277="","",COUNTIFS(COMPOSANTS!B:B,A277,COMPOSANTS!G:G,"Défectueux"))</f>
        <v/>
      </c>
      <c r="H277" s="87">
        <f>IF(A277="","",IFERROR(VLOOKUP(A277,EQUIPEMENTS!A:R,18,0),""))</f>
        <v/>
      </c>
      <c r="I277" s="87">
        <f>IF(A277="","",IF(AND(C277="Haute",D277="En panne"),"🔴 CRITIQUE",IF(OR(E277&gt;0,F277&gt;0,G277&gt;0),"🟠 ATTENTION","🟢 OK")))</f>
        <v/>
      </c>
      <c r="J277" s="87">
        <f>IF(A277="","",IFERROR(VLOOKUP(A277,EQUIPEMENTS!A:Q,17,0),""))</f>
        <v/>
      </c>
      <c r="K277" s="87" t="n"/>
    </row>
    <row r="278" ht="15" customHeight="1" s="59">
      <c r="A278" s="84">
        <f>IFERROR(EQUIPEMENTS!A278,"")</f>
        <v/>
      </c>
      <c r="B278" s="84">
        <f>IF(A278="","",IFERROR(VLOOKUP(A278,EQUIPEMENTS!A:B,2,0),""))</f>
        <v/>
      </c>
      <c r="C278" s="84">
        <f>IF(A278="","",IFERROR(VLOOKUP(A278,EQUIPEMENTS!A:D,4,0),""))</f>
        <v/>
      </c>
      <c r="D278" s="84">
        <f>IF(A278="","",IFERROR(VLOOKUP(A278,EQUIPEMENTS!A:M,13,0),""))</f>
        <v/>
      </c>
      <c r="E278" s="84">
        <f>IF(A278="","",COUNTIFS(MAINT_PREV!B:B,A278,MAINT_PREV!G:G,"Planifiée",MAINT_PREV!E:E,"&lt;"&amp;TODAY(),MAINT_PREV!H:H,""))</f>
        <v/>
      </c>
      <c r="F278" s="84">
        <f>IF(A278="","",COUNTIFS(INTERVENTIONS!B:B,A278,INTERVENTIONS!L:L,"Ouverte"))</f>
        <v/>
      </c>
      <c r="G278" s="84">
        <f>IF(A278="","",COUNTIFS(COMPOSANTS!B:B,A278,COMPOSANTS!G:G,"Défectueux"))</f>
        <v/>
      </c>
      <c r="H278" s="84">
        <f>IF(A278="","",IFERROR(VLOOKUP(A278,EQUIPEMENTS!A:R,18,0),""))</f>
        <v/>
      </c>
      <c r="I278" s="84">
        <f>IF(A278="","",IF(AND(C278="Haute",D278="En panne"),"🔴 CRITIQUE",IF(OR(E278&gt;0,F278&gt;0,G278&gt;0),"🟠 ATTENTION","🟢 OK")))</f>
        <v/>
      </c>
      <c r="J278" s="84">
        <f>IF(A278="","",IFERROR(VLOOKUP(A278,EQUIPEMENTS!A:Q,17,0),""))</f>
        <v/>
      </c>
      <c r="K278" s="84" t="n"/>
    </row>
    <row r="279" ht="15" customHeight="1" s="59">
      <c r="A279" s="87">
        <f>IFERROR(EQUIPEMENTS!A279,"")</f>
        <v/>
      </c>
      <c r="B279" s="87">
        <f>IF(A279="","",IFERROR(VLOOKUP(A279,EQUIPEMENTS!A:B,2,0),""))</f>
        <v/>
      </c>
      <c r="C279" s="87">
        <f>IF(A279="","",IFERROR(VLOOKUP(A279,EQUIPEMENTS!A:D,4,0),""))</f>
        <v/>
      </c>
      <c r="D279" s="87">
        <f>IF(A279="","",IFERROR(VLOOKUP(A279,EQUIPEMENTS!A:M,13,0),""))</f>
        <v/>
      </c>
      <c r="E279" s="87">
        <f>IF(A279="","",COUNTIFS(MAINT_PREV!B:B,A279,MAINT_PREV!G:G,"Planifiée",MAINT_PREV!E:E,"&lt;"&amp;TODAY(),MAINT_PREV!H:H,""))</f>
        <v/>
      </c>
      <c r="F279" s="87">
        <f>IF(A279="","",COUNTIFS(INTERVENTIONS!B:B,A279,INTERVENTIONS!L:L,"Ouverte"))</f>
        <v/>
      </c>
      <c r="G279" s="87">
        <f>IF(A279="","",COUNTIFS(COMPOSANTS!B:B,A279,COMPOSANTS!G:G,"Défectueux"))</f>
        <v/>
      </c>
      <c r="H279" s="87">
        <f>IF(A279="","",IFERROR(VLOOKUP(A279,EQUIPEMENTS!A:R,18,0),""))</f>
        <v/>
      </c>
      <c r="I279" s="87">
        <f>IF(A279="","",IF(AND(C279="Haute",D279="En panne"),"🔴 CRITIQUE",IF(OR(E279&gt;0,F279&gt;0,G279&gt;0),"🟠 ATTENTION","🟢 OK")))</f>
        <v/>
      </c>
      <c r="J279" s="87">
        <f>IF(A279="","",IFERROR(VLOOKUP(A279,EQUIPEMENTS!A:Q,17,0),""))</f>
        <v/>
      </c>
      <c r="K279" s="87" t="n"/>
    </row>
    <row r="280" ht="15" customHeight="1" s="59">
      <c r="A280" s="84">
        <f>IFERROR(EQUIPEMENTS!A280,"")</f>
        <v/>
      </c>
      <c r="B280" s="84">
        <f>IF(A280="","",IFERROR(VLOOKUP(A280,EQUIPEMENTS!A:B,2,0),""))</f>
        <v/>
      </c>
      <c r="C280" s="84">
        <f>IF(A280="","",IFERROR(VLOOKUP(A280,EQUIPEMENTS!A:D,4,0),""))</f>
        <v/>
      </c>
      <c r="D280" s="84">
        <f>IF(A280="","",IFERROR(VLOOKUP(A280,EQUIPEMENTS!A:M,13,0),""))</f>
        <v/>
      </c>
      <c r="E280" s="84">
        <f>IF(A280="","",COUNTIFS(MAINT_PREV!B:B,A280,MAINT_PREV!G:G,"Planifiée",MAINT_PREV!E:E,"&lt;"&amp;TODAY(),MAINT_PREV!H:H,""))</f>
        <v/>
      </c>
      <c r="F280" s="84">
        <f>IF(A280="","",COUNTIFS(INTERVENTIONS!B:B,A280,INTERVENTIONS!L:L,"Ouverte"))</f>
        <v/>
      </c>
      <c r="G280" s="84">
        <f>IF(A280="","",COUNTIFS(COMPOSANTS!B:B,A280,COMPOSANTS!G:G,"Défectueux"))</f>
        <v/>
      </c>
      <c r="H280" s="84">
        <f>IF(A280="","",IFERROR(VLOOKUP(A280,EQUIPEMENTS!A:R,18,0),""))</f>
        <v/>
      </c>
      <c r="I280" s="84">
        <f>IF(A280="","",IF(AND(C280="Haute",D280="En panne"),"🔴 CRITIQUE",IF(OR(E280&gt;0,F280&gt;0,G280&gt;0),"🟠 ATTENTION","🟢 OK")))</f>
        <v/>
      </c>
      <c r="J280" s="84">
        <f>IF(A280="","",IFERROR(VLOOKUP(A280,EQUIPEMENTS!A:Q,17,0),""))</f>
        <v/>
      </c>
      <c r="K280" s="84" t="n"/>
    </row>
    <row r="281" ht="15" customHeight="1" s="59">
      <c r="A281" s="87">
        <f>IFERROR(EQUIPEMENTS!A281,"")</f>
        <v/>
      </c>
      <c r="B281" s="87">
        <f>IF(A281="","",IFERROR(VLOOKUP(A281,EQUIPEMENTS!A:B,2,0),""))</f>
        <v/>
      </c>
      <c r="C281" s="87">
        <f>IF(A281="","",IFERROR(VLOOKUP(A281,EQUIPEMENTS!A:D,4,0),""))</f>
        <v/>
      </c>
      <c r="D281" s="87">
        <f>IF(A281="","",IFERROR(VLOOKUP(A281,EQUIPEMENTS!A:M,13,0),""))</f>
        <v/>
      </c>
      <c r="E281" s="87">
        <f>IF(A281="","",COUNTIFS(MAINT_PREV!B:B,A281,MAINT_PREV!G:G,"Planifiée",MAINT_PREV!E:E,"&lt;"&amp;TODAY(),MAINT_PREV!H:H,""))</f>
        <v/>
      </c>
      <c r="F281" s="87">
        <f>IF(A281="","",COUNTIFS(INTERVENTIONS!B:B,A281,INTERVENTIONS!L:L,"Ouverte"))</f>
        <v/>
      </c>
      <c r="G281" s="87">
        <f>IF(A281="","",COUNTIFS(COMPOSANTS!B:B,A281,COMPOSANTS!G:G,"Défectueux"))</f>
        <v/>
      </c>
      <c r="H281" s="87">
        <f>IF(A281="","",IFERROR(VLOOKUP(A281,EQUIPEMENTS!A:R,18,0),""))</f>
        <v/>
      </c>
      <c r="I281" s="87">
        <f>IF(A281="","",IF(AND(C281="Haute",D281="En panne"),"🔴 CRITIQUE",IF(OR(E281&gt;0,F281&gt;0,G281&gt;0),"🟠 ATTENTION","🟢 OK")))</f>
        <v/>
      </c>
      <c r="J281" s="87">
        <f>IF(A281="","",IFERROR(VLOOKUP(A281,EQUIPEMENTS!A:Q,17,0),""))</f>
        <v/>
      </c>
      <c r="K281" s="87" t="n"/>
    </row>
    <row r="282" ht="15" customHeight="1" s="59">
      <c r="A282" s="84">
        <f>IFERROR(EQUIPEMENTS!A282,"")</f>
        <v/>
      </c>
      <c r="B282" s="84">
        <f>IF(A282="","",IFERROR(VLOOKUP(A282,EQUIPEMENTS!A:B,2,0),""))</f>
        <v/>
      </c>
      <c r="C282" s="84">
        <f>IF(A282="","",IFERROR(VLOOKUP(A282,EQUIPEMENTS!A:D,4,0),""))</f>
        <v/>
      </c>
      <c r="D282" s="84">
        <f>IF(A282="","",IFERROR(VLOOKUP(A282,EQUIPEMENTS!A:M,13,0),""))</f>
        <v/>
      </c>
      <c r="E282" s="84">
        <f>IF(A282="","",COUNTIFS(MAINT_PREV!B:B,A282,MAINT_PREV!G:G,"Planifiée",MAINT_PREV!E:E,"&lt;"&amp;TODAY(),MAINT_PREV!H:H,""))</f>
        <v/>
      </c>
      <c r="F282" s="84">
        <f>IF(A282="","",COUNTIFS(INTERVENTIONS!B:B,A282,INTERVENTIONS!L:L,"Ouverte"))</f>
        <v/>
      </c>
      <c r="G282" s="84">
        <f>IF(A282="","",COUNTIFS(COMPOSANTS!B:B,A282,COMPOSANTS!G:G,"Défectueux"))</f>
        <v/>
      </c>
      <c r="H282" s="84">
        <f>IF(A282="","",IFERROR(VLOOKUP(A282,EQUIPEMENTS!A:R,18,0),""))</f>
        <v/>
      </c>
      <c r="I282" s="84">
        <f>IF(A282="","",IF(AND(C282="Haute",D282="En panne"),"🔴 CRITIQUE",IF(OR(E282&gt;0,F282&gt;0,G282&gt;0),"🟠 ATTENTION","🟢 OK")))</f>
        <v/>
      </c>
      <c r="J282" s="84">
        <f>IF(A282="","",IFERROR(VLOOKUP(A282,EQUIPEMENTS!A:Q,17,0),""))</f>
        <v/>
      </c>
      <c r="K282" s="84" t="n"/>
    </row>
    <row r="283" ht="15" customHeight="1" s="59">
      <c r="A283" s="87">
        <f>IFERROR(EQUIPEMENTS!A283,"")</f>
        <v/>
      </c>
      <c r="B283" s="87">
        <f>IF(A283="","",IFERROR(VLOOKUP(A283,EQUIPEMENTS!A:B,2,0),""))</f>
        <v/>
      </c>
      <c r="C283" s="87">
        <f>IF(A283="","",IFERROR(VLOOKUP(A283,EQUIPEMENTS!A:D,4,0),""))</f>
        <v/>
      </c>
      <c r="D283" s="87">
        <f>IF(A283="","",IFERROR(VLOOKUP(A283,EQUIPEMENTS!A:M,13,0),""))</f>
        <v/>
      </c>
      <c r="E283" s="87">
        <f>IF(A283="","",COUNTIFS(MAINT_PREV!B:B,A283,MAINT_PREV!G:G,"Planifiée",MAINT_PREV!E:E,"&lt;"&amp;TODAY(),MAINT_PREV!H:H,""))</f>
        <v/>
      </c>
      <c r="F283" s="87">
        <f>IF(A283="","",COUNTIFS(INTERVENTIONS!B:B,A283,INTERVENTIONS!L:L,"Ouverte"))</f>
        <v/>
      </c>
      <c r="G283" s="87">
        <f>IF(A283="","",COUNTIFS(COMPOSANTS!B:B,A283,COMPOSANTS!G:G,"Défectueux"))</f>
        <v/>
      </c>
      <c r="H283" s="87">
        <f>IF(A283="","",IFERROR(VLOOKUP(A283,EQUIPEMENTS!A:R,18,0),""))</f>
        <v/>
      </c>
      <c r="I283" s="87">
        <f>IF(A283="","",IF(AND(C283="Haute",D283="En panne"),"🔴 CRITIQUE",IF(OR(E283&gt;0,F283&gt;0,G283&gt;0),"🟠 ATTENTION","🟢 OK")))</f>
        <v/>
      </c>
      <c r="J283" s="87">
        <f>IF(A283="","",IFERROR(VLOOKUP(A283,EQUIPEMENTS!A:Q,17,0),""))</f>
        <v/>
      </c>
      <c r="K283" s="87" t="n"/>
    </row>
    <row r="284" ht="15" customHeight="1" s="59">
      <c r="A284" s="84">
        <f>IFERROR(EQUIPEMENTS!A284,"")</f>
        <v/>
      </c>
      <c r="B284" s="84">
        <f>IF(A284="","",IFERROR(VLOOKUP(A284,EQUIPEMENTS!A:B,2,0),""))</f>
        <v/>
      </c>
      <c r="C284" s="84">
        <f>IF(A284="","",IFERROR(VLOOKUP(A284,EQUIPEMENTS!A:D,4,0),""))</f>
        <v/>
      </c>
      <c r="D284" s="84">
        <f>IF(A284="","",IFERROR(VLOOKUP(A284,EQUIPEMENTS!A:M,13,0),""))</f>
        <v/>
      </c>
      <c r="E284" s="84">
        <f>IF(A284="","",COUNTIFS(MAINT_PREV!B:B,A284,MAINT_PREV!G:G,"Planifiée",MAINT_PREV!E:E,"&lt;"&amp;TODAY(),MAINT_PREV!H:H,""))</f>
        <v/>
      </c>
      <c r="F284" s="84">
        <f>IF(A284="","",COUNTIFS(INTERVENTIONS!B:B,A284,INTERVENTIONS!L:L,"Ouverte"))</f>
        <v/>
      </c>
      <c r="G284" s="84">
        <f>IF(A284="","",COUNTIFS(COMPOSANTS!B:B,A284,COMPOSANTS!G:G,"Défectueux"))</f>
        <v/>
      </c>
      <c r="H284" s="84">
        <f>IF(A284="","",IFERROR(VLOOKUP(A284,EQUIPEMENTS!A:R,18,0),""))</f>
        <v/>
      </c>
      <c r="I284" s="84">
        <f>IF(A284="","",IF(AND(C284="Haute",D284="En panne"),"🔴 CRITIQUE",IF(OR(E284&gt;0,F284&gt;0,G284&gt;0),"🟠 ATTENTION","🟢 OK")))</f>
        <v/>
      </c>
      <c r="J284" s="84">
        <f>IF(A284="","",IFERROR(VLOOKUP(A284,EQUIPEMENTS!A:Q,17,0),""))</f>
        <v/>
      </c>
      <c r="K284" s="84" t="n"/>
    </row>
    <row r="285" ht="15" customHeight="1" s="59">
      <c r="A285" s="87">
        <f>IFERROR(EQUIPEMENTS!A285,"")</f>
        <v/>
      </c>
      <c r="B285" s="87">
        <f>IF(A285="","",IFERROR(VLOOKUP(A285,EQUIPEMENTS!A:B,2,0),""))</f>
        <v/>
      </c>
      <c r="C285" s="87">
        <f>IF(A285="","",IFERROR(VLOOKUP(A285,EQUIPEMENTS!A:D,4,0),""))</f>
        <v/>
      </c>
      <c r="D285" s="87">
        <f>IF(A285="","",IFERROR(VLOOKUP(A285,EQUIPEMENTS!A:M,13,0),""))</f>
        <v/>
      </c>
      <c r="E285" s="87">
        <f>IF(A285="","",COUNTIFS(MAINT_PREV!B:B,A285,MAINT_PREV!G:G,"Planifiée",MAINT_PREV!E:E,"&lt;"&amp;TODAY(),MAINT_PREV!H:H,""))</f>
        <v/>
      </c>
      <c r="F285" s="87">
        <f>IF(A285="","",COUNTIFS(INTERVENTIONS!B:B,A285,INTERVENTIONS!L:L,"Ouverte"))</f>
        <v/>
      </c>
      <c r="G285" s="87">
        <f>IF(A285="","",COUNTIFS(COMPOSANTS!B:B,A285,COMPOSANTS!G:G,"Défectueux"))</f>
        <v/>
      </c>
      <c r="H285" s="87">
        <f>IF(A285="","",IFERROR(VLOOKUP(A285,EQUIPEMENTS!A:R,18,0),""))</f>
        <v/>
      </c>
      <c r="I285" s="87">
        <f>IF(A285="","",IF(AND(C285="Haute",D285="En panne"),"🔴 CRITIQUE",IF(OR(E285&gt;0,F285&gt;0,G285&gt;0),"🟠 ATTENTION","🟢 OK")))</f>
        <v/>
      </c>
      <c r="J285" s="87">
        <f>IF(A285="","",IFERROR(VLOOKUP(A285,EQUIPEMENTS!A:Q,17,0),""))</f>
        <v/>
      </c>
      <c r="K285" s="87" t="n"/>
    </row>
    <row r="286" ht="15" customHeight="1" s="59">
      <c r="A286" s="84">
        <f>IFERROR(EQUIPEMENTS!A286,"")</f>
        <v/>
      </c>
      <c r="B286" s="84">
        <f>IF(A286="","",IFERROR(VLOOKUP(A286,EQUIPEMENTS!A:B,2,0),""))</f>
        <v/>
      </c>
      <c r="C286" s="84">
        <f>IF(A286="","",IFERROR(VLOOKUP(A286,EQUIPEMENTS!A:D,4,0),""))</f>
        <v/>
      </c>
      <c r="D286" s="84">
        <f>IF(A286="","",IFERROR(VLOOKUP(A286,EQUIPEMENTS!A:M,13,0),""))</f>
        <v/>
      </c>
      <c r="E286" s="84">
        <f>IF(A286="","",COUNTIFS(MAINT_PREV!B:B,A286,MAINT_PREV!G:G,"Planifiée",MAINT_PREV!E:E,"&lt;"&amp;TODAY(),MAINT_PREV!H:H,""))</f>
        <v/>
      </c>
      <c r="F286" s="84">
        <f>IF(A286="","",COUNTIFS(INTERVENTIONS!B:B,A286,INTERVENTIONS!L:L,"Ouverte"))</f>
        <v/>
      </c>
      <c r="G286" s="84">
        <f>IF(A286="","",COUNTIFS(COMPOSANTS!B:B,A286,COMPOSANTS!G:G,"Défectueux"))</f>
        <v/>
      </c>
      <c r="H286" s="84">
        <f>IF(A286="","",IFERROR(VLOOKUP(A286,EQUIPEMENTS!A:R,18,0),""))</f>
        <v/>
      </c>
      <c r="I286" s="84">
        <f>IF(A286="","",IF(AND(C286="Haute",D286="En panne"),"🔴 CRITIQUE",IF(OR(E286&gt;0,F286&gt;0,G286&gt;0),"🟠 ATTENTION","🟢 OK")))</f>
        <v/>
      </c>
      <c r="J286" s="84">
        <f>IF(A286="","",IFERROR(VLOOKUP(A286,EQUIPEMENTS!A:Q,17,0),""))</f>
        <v/>
      </c>
      <c r="K286" s="84" t="n"/>
    </row>
    <row r="287" ht="15" customHeight="1" s="59">
      <c r="A287" s="87">
        <f>IFERROR(EQUIPEMENTS!A287,"")</f>
        <v/>
      </c>
      <c r="B287" s="87">
        <f>IF(A287="","",IFERROR(VLOOKUP(A287,EQUIPEMENTS!A:B,2,0),""))</f>
        <v/>
      </c>
      <c r="C287" s="87">
        <f>IF(A287="","",IFERROR(VLOOKUP(A287,EQUIPEMENTS!A:D,4,0),""))</f>
        <v/>
      </c>
      <c r="D287" s="87">
        <f>IF(A287="","",IFERROR(VLOOKUP(A287,EQUIPEMENTS!A:M,13,0),""))</f>
        <v/>
      </c>
      <c r="E287" s="87">
        <f>IF(A287="","",COUNTIFS(MAINT_PREV!B:B,A287,MAINT_PREV!G:G,"Planifiée",MAINT_PREV!E:E,"&lt;"&amp;TODAY(),MAINT_PREV!H:H,""))</f>
        <v/>
      </c>
      <c r="F287" s="87">
        <f>IF(A287="","",COUNTIFS(INTERVENTIONS!B:B,A287,INTERVENTIONS!L:L,"Ouverte"))</f>
        <v/>
      </c>
      <c r="G287" s="87">
        <f>IF(A287="","",COUNTIFS(COMPOSANTS!B:B,A287,COMPOSANTS!G:G,"Défectueux"))</f>
        <v/>
      </c>
      <c r="H287" s="87">
        <f>IF(A287="","",IFERROR(VLOOKUP(A287,EQUIPEMENTS!A:R,18,0),""))</f>
        <v/>
      </c>
      <c r="I287" s="87">
        <f>IF(A287="","",IF(AND(C287="Haute",D287="En panne"),"🔴 CRITIQUE",IF(OR(E287&gt;0,F287&gt;0,G287&gt;0),"🟠 ATTENTION","🟢 OK")))</f>
        <v/>
      </c>
      <c r="J287" s="87">
        <f>IF(A287="","",IFERROR(VLOOKUP(A287,EQUIPEMENTS!A:Q,17,0),""))</f>
        <v/>
      </c>
      <c r="K287" s="87" t="n"/>
    </row>
    <row r="288" ht="15" customHeight="1" s="59">
      <c r="A288" s="84">
        <f>IFERROR(EQUIPEMENTS!A288,"")</f>
        <v/>
      </c>
      <c r="B288" s="84">
        <f>IF(A288="","",IFERROR(VLOOKUP(A288,EQUIPEMENTS!A:B,2,0),""))</f>
        <v/>
      </c>
      <c r="C288" s="84">
        <f>IF(A288="","",IFERROR(VLOOKUP(A288,EQUIPEMENTS!A:D,4,0),""))</f>
        <v/>
      </c>
      <c r="D288" s="84">
        <f>IF(A288="","",IFERROR(VLOOKUP(A288,EQUIPEMENTS!A:M,13,0),""))</f>
        <v/>
      </c>
      <c r="E288" s="84">
        <f>IF(A288="","",COUNTIFS(MAINT_PREV!B:B,A288,MAINT_PREV!G:G,"Planifiée",MAINT_PREV!E:E,"&lt;"&amp;TODAY(),MAINT_PREV!H:H,""))</f>
        <v/>
      </c>
      <c r="F288" s="84">
        <f>IF(A288="","",COUNTIFS(INTERVENTIONS!B:B,A288,INTERVENTIONS!L:L,"Ouverte"))</f>
        <v/>
      </c>
      <c r="G288" s="84">
        <f>IF(A288="","",COUNTIFS(COMPOSANTS!B:B,A288,COMPOSANTS!G:G,"Défectueux"))</f>
        <v/>
      </c>
      <c r="H288" s="84">
        <f>IF(A288="","",IFERROR(VLOOKUP(A288,EQUIPEMENTS!A:R,18,0),""))</f>
        <v/>
      </c>
      <c r="I288" s="84">
        <f>IF(A288="","",IF(AND(C288="Haute",D288="En panne"),"🔴 CRITIQUE",IF(OR(E288&gt;0,F288&gt;0,G288&gt;0),"🟠 ATTENTION","🟢 OK")))</f>
        <v/>
      </c>
      <c r="J288" s="84">
        <f>IF(A288="","",IFERROR(VLOOKUP(A288,EQUIPEMENTS!A:Q,17,0),""))</f>
        <v/>
      </c>
      <c r="K288" s="84" t="n"/>
    </row>
    <row r="289" ht="15" customHeight="1" s="59">
      <c r="A289" s="87">
        <f>IFERROR(EQUIPEMENTS!A289,"")</f>
        <v/>
      </c>
      <c r="B289" s="87">
        <f>IF(A289="","",IFERROR(VLOOKUP(A289,EQUIPEMENTS!A:B,2,0),""))</f>
        <v/>
      </c>
      <c r="C289" s="87">
        <f>IF(A289="","",IFERROR(VLOOKUP(A289,EQUIPEMENTS!A:D,4,0),""))</f>
        <v/>
      </c>
      <c r="D289" s="87">
        <f>IF(A289="","",IFERROR(VLOOKUP(A289,EQUIPEMENTS!A:M,13,0),""))</f>
        <v/>
      </c>
      <c r="E289" s="87">
        <f>IF(A289="","",COUNTIFS(MAINT_PREV!B:B,A289,MAINT_PREV!G:G,"Planifiée",MAINT_PREV!E:E,"&lt;"&amp;TODAY(),MAINT_PREV!H:H,""))</f>
        <v/>
      </c>
      <c r="F289" s="87">
        <f>IF(A289="","",COUNTIFS(INTERVENTIONS!B:B,A289,INTERVENTIONS!L:L,"Ouverte"))</f>
        <v/>
      </c>
      <c r="G289" s="87">
        <f>IF(A289="","",COUNTIFS(COMPOSANTS!B:B,A289,COMPOSANTS!G:G,"Défectueux"))</f>
        <v/>
      </c>
      <c r="H289" s="87">
        <f>IF(A289="","",IFERROR(VLOOKUP(A289,EQUIPEMENTS!A:R,18,0),""))</f>
        <v/>
      </c>
      <c r="I289" s="87">
        <f>IF(A289="","",IF(AND(C289="Haute",D289="En panne"),"🔴 CRITIQUE",IF(OR(E289&gt;0,F289&gt;0,G289&gt;0),"🟠 ATTENTION","🟢 OK")))</f>
        <v/>
      </c>
      <c r="J289" s="87">
        <f>IF(A289="","",IFERROR(VLOOKUP(A289,EQUIPEMENTS!A:Q,17,0),""))</f>
        <v/>
      </c>
      <c r="K289" s="87" t="n"/>
    </row>
    <row r="290" ht="15" customHeight="1" s="59">
      <c r="A290" s="84">
        <f>IFERROR(EQUIPEMENTS!A290,"")</f>
        <v/>
      </c>
      <c r="B290" s="84">
        <f>IF(A290="","",IFERROR(VLOOKUP(A290,EQUIPEMENTS!A:B,2,0),""))</f>
        <v/>
      </c>
      <c r="C290" s="84">
        <f>IF(A290="","",IFERROR(VLOOKUP(A290,EQUIPEMENTS!A:D,4,0),""))</f>
        <v/>
      </c>
      <c r="D290" s="84">
        <f>IF(A290="","",IFERROR(VLOOKUP(A290,EQUIPEMENTS!A:M,13,0),""))</f>
        <v/>
      </c>
      <c r="E290" s="84">
        <f>IF(A290="","",COUNTIFS(MAINT_PREV!B:B,A290,MAINT_PREV!G:G,"Planifiée",MAINT_PREV!E:E,"&lt;"&amp;TODAY(),MAINT_PREV!H:H,""))</f>
        <v/>
      </c>
      <c r="F290" s="84">
        <f>IF(A290="","",COUNTIFS(INTERVENTIONS!B:B,A290,INTERVENTIONS!L:L,"Ouverte"))</f>
        <v/>
      </c>
      <c r="G290" s="84">
        <f>IF(A290="","",COUNTIFS(COMPOSANTS!B:B,A290,COMPOSANTS!G:G,"Défectueux"))</f>
        <v/>
      </c>
      <c r="H290" s="84">
        <f>IF(A290="","",IFERROR(VLOOKUP(A290,EQUIPEMENTS!A:R,18,0),""))</f>
        <v/>
      </c>
      <c r="I290" s="84">
        <f>IF(A290="","",IF(AND(C290="Haute",D290="En panne"),"🔴 CRITIQUE",IF(OR(E290&gt;0,F290&gt;0,G290&gt;0),"🟠 ATTENTION","🟢 OK")))</f>
        <v/>
      </c>
      <c r="J290" s="84">
        <f>IF(A290="","",IFERROR(VLOOKUP(A290,EQUIPEMENTS!A:Q,17,0),""))</f>
        <v/>
      </c>
      <c r="K290" s="84" t="n"/>
    </row>
    <row r="291" ht="15" customHeight="1" s="59">
      <c r="A291" s="87">
        <f>IFERROR(EQUIPEMENTS!A291,"")</f>
        <v/>
      </c>
      <c r="B291" s="87">
        <f>IF(A291="","",IFERROR(VLOOKUP(A291,EQUIPEMENTS!A:B,2,0),""))</f>
        <v/>
      </c>
      <c r="C291" s="87">
        <f>IF(A291="","",IFERROR(VLOOKUP(A291,EQUIPEMENTS!A:D,4,0),""))</f>
        <v/>
      </c>
      <c r="D291" s="87">
        <f>IF(A291="","",IFERROR(VLOOKUP(A291,EQUIPEMENTS!A:M,13,0),""))</f>
        <v/>
      </c>
      <c r="E291" s="87">
        <f>IF(A291="","",COUNTIFS(MAINT_PREV!B:B,A291,MAINT_PREV!G:G,"Planifiée",MAINT_PREV!E:E,"&lt;"&amp;TODAY(),MAINT_PREV!H:H,""))</f>
        <v/>
      </c>
      <c r="F291" s="87">
        <f>IF(A291="","",COUNTIFS(INTERVENTIONS!B:B,A291,INTERVENTIONS!L:L,"Ouverte"))</f>
        <v/>
      </c>
      <c r="G291" s="87">
        <f>IF(A291="","",COUNTIFS(COMPOSANTS!B:B,A291,COMPOSANTS!G:G,"Défectueux"))</f>
        <v/>
      </c>
      <c r="H291" s="87">
        <f>IF(A291="","",IFERROR(VLOOKUP(A291,EQUIPEMENTS!A:R,18,0),""))</f>
        <v/>
      </c>
      <c r="I291" s="87">
        <f>IF(A291="","",IF(AND(C291="Haute",D291="En panne"),"🔴 CRITIQUE",IF(OR(E291&gt;0,F291&gt;0,G291&gt;0),"🟠 ATTENTION","🟢 OK")))</f>
        <v/>
      </c>
      <c r="J291" s="87">
        <f>IF(A291="","",IFERROR(VLOOKUP(A291,EQUIPEMENTS!A:Q,17,0),""))</f>
        <v/>
      </c>
      <c r="K291" s="87" t="n"/>
    </row>
    <row r="292" ht="15" customHeight="1" s="59">
      <c r="A292" s="84">
        <f>IFERROR(EQUIPEMENTS!A292,"")</f>
        <v/>
      </c>
      <c r="B292" s="84">
        <f>IF(A292="","",IFERROR(VLOOKUP(A292,EQUIPEMENTS!A:B,2,0),""))</f>
        <v/>
      </c>
      <c r="C292" s="84">
        <f>IF(A292="","",IFERROR(VLOOKUP(A292,EQUIPEMENTS!A:D,4,0),""))</f>
        <v/>
      </c>
      <c r="D292" s="84">
        <f>IF(A292="","",IFERROR(VLOOKUP(A292,EQUIPEMENTS!A:M,13,0),""))</f>
        <v/>
      </c>
      <c r="E292" s="84">
        <f>IF(A292="","",COUNTIFS(MAINT_PREV!B:B,A292,MAINT_PREV!G:G,"Planifiée",MAINT_PREV!E:E,"&lt;"&amp;TODAY(),MAINT_PREV!H:H,""))</f>
        <v/>
      </c>
      <c r="F292" s="84">
        <f>IF(A292="","",COUNTIFS(INTERVENTIONS!B:B,A292,INTERVENTIONS!L:L,"Ouverte"))</f>
        <v/>
      </c>
      <c r="G292" s="84">
        <f>IF(A292="","",COUNTIFS(COMPOSANTS!B:B,A292,COMPOSANTS!G:G,"Défectueux"))</f>
        <v/>
      </c>
      <c r="H292" s="84">
        <f>IF(A292="","",IFERROR(VLOOKUP(A292,EQUIPEMENTS!A:R,18,0),""))</f>
        <v/>
      </c>
      <c r="I292" s="84">
        <f>IF(A292="","",IF(AND(C292="Haute",D292="En panne"),"🔴 CRITIQUE",IF(OR(E292&gt;0,F292&gt;0,G292&gt;0),"🟠 ATTENTION","🟢 OK")))</f>
        <v/>
      </c>
      <c r="J292" s="84">
        <f>IF(A292="","",IFERROR(VLOOKUP(A292,EQUIPEMENTS!A:Q,17,0),""))</f>
        <v/>
      </c>
      <c r="K292" s="84" t="n"/>
    </row>
    <row r="293" ht="15" customHeight="1" s="59">
      <c r="A293" s="87">
        <f>IFERROR(EQUIPEMENTS!A293,"")</f>
        <v/>
      </c>
      <c r="B293" s="87">
        <f>IF(A293="","",IFERROR(VLOOKUP(A293,EQUIPEMENTS!A:B,2,0),""))</f>
        <v/>
      </c>
      <c r="C293" s="87">
        <f>IF(A293="","",IFERROR(VLOOKUP(A293,EQUIPEMENTS!A:D,4,0),""))</f>
        <v/>
      </c>
      <c r="D293" s="87">
        <f>IF(A293="","",IFERROR(VLOOKUP(A293,EQUIPEMENTS!A:M,13,0),""))</f>
        <v/>
      </c>
      <c r="E293" s="87">
        <f>IF(A293="","",COUNTIFS(MAINT_PREV!B:B,A293,MAINT_PREV!G:G,"Planifiée",MAINT_PREV!E:E,"&lt;"&amp;TODAY(),MAINT_PREV!H:H,""))</f>
        <v/>
      </c>
      <c r="F293" s="87">
        <f>IF(A293="","",COUNTIFS(INTERVENTIONS!B:B,A293,INTERVENTIONS!L:L,"Ouverte"))</f>
        <v/>
      </c>
      <c r="G293" s="87">
        <f>IF(A293="","",COUNTIFS(COMPOSANTS!B:B,A293,COMPOSANTS!G:G,"Défectueux"))</f>
        <v/>
      </c>
      <c r="H293" s="87">
        <f>IF(A293="","",IFERROR(VLOOKUP(A293,EQUIPEMENTS!A:R,18,0),""))</f>
        <v/>
      </c>
      <c r="I293" s="87">
        <f>IF(A293="","",IF(AND(C293="Haute",D293="En panne"),"🔴 CRITIQUE",IF(OR(E293&gt;0,F293&gt;0,G293&gt;0),"🟠 ATTENTION","🟢 OK")))</f>
        <v/>
      </c>
      <c r="J293" s="87">
        <f>IF(A293="","",IFERROR(VLOOKUP(A293,EQUIPEMENTS!A:Q,17,0),""))</f>
        <v/>
      </c>
      <c r="K293" s="87" t="n"/>
    </row>
    <row r="294" ht="15" customHeight="1" s="59">
      <c r="A294" s="84">
        <f>IFERROR(EQUIPEMENTS!A294,"")</f>
        <v/>
      </c>
      <c r="B294" s="84">
        <f>IF(A294="","",IFERROR(VLOOKUP(A294,EQUIPEMENTS!A:B,2,0),""))</f>
        <v/>
      </c>
      <c r="C294" s="84">
        <f>IF(A294="","",IFERROR(VLOOKUP(A294,EQUIPEMENTS!A:D,4,0),""))</f>
        <v/>
      </c>
      <c r="D294" s="84">
        <f>IF(A294="","",IFERROR(VLOOKUP(A294,EQUIPEMENTS!A:M,13,0),""))</f>
        <v/>
      </c>
      <c r="E294" s="84">
        <f>IF(A294="","",COUNTIFS(MAINT_PREV!B:B,A294,MAINT_PREV!G:G,"Planifiée",MAINT_PREV!E:E,"&lt;"&amp;TODAY(),MAINT_PREV!H:H,""))</f>
        <v/>
      </c>
      <c r="F294" s="84">
        <f>IF(A294="","",COUNTIFS(INTERVENTIONS!B:B,A294,INTERVENTIONS!L:L,"Ouverte"))</f>
        <v/>
      </c>
      <c r="G294" s="84">
        <f>IF(A294="","",COUNTIFS(COMPOSANTS!B:B,A294,COMPOSANTS!G:G,"Défectueux"))</f>
        <v/>
      </c>
      <c r="H294" s="84">
        <f>IF(A294="","",IFERROR(VLOOKUP(A294,EQUIPEMENTS!A:R,18,0),""))</f>
        <v/>
      </c>
      <c r="I294" s="84">
        <f>IF(A294="","",IF(AND(C294="Haute",D294="En panne"),"🔴 CRITIQUE",IF(OR(E294&gt;0,F294&gt;0,G294&gt;0),"🟠 ATTENTION","🟢 OK")))</f>
        <v/>
      </c>
      <c r="J294" s="84">
        <f>IF(A294="","",IFERROR(VLOOKUP(A294,EQUIPEMENTS!A:Q,17,0),""))</f>
        <v/>
      </c>
      <c r="K294" s="84" t="n"/>
    </row>
    <row r="295" ht="15" customHeight="1" s="59">
      <c r="A295" s="87">
        <f>IFERROR(EQUIPEMENTS!A295,"")</f>
        <v/>
      </c>
      <c r="B295" s="87">
        <f>IF(A295="","",IFERROR(VLOOKUP(A295,EQUIPEMENTS!A:B,2,0),""))</f>
        <v/>
      </c>
      <c r="C295" s="87">
        <f>IF(A295="","",IFERROR(VLOOKUP(A295,EQUIPEMENTS!A:D,4,0),""))</f>
        <v/>
      </c>
      <c r="D295" s="87">
        <f>IF(A295="","",IFERROR(VLOOKUP(A295,EQUIPEMENTS!A:M,13,0),""))</f>
        <v/>
      </c>
      <c r="E295" s="87">
        <f>IF(A295="","",COUNTIFS(MAINT_PREV!B:B,A295,MAINT_PREV!G:G,"Planifiée",MAINT_PREV!E:E,"&lt;"&amp;TODAY(),MAINT_PREV!H:H,""))</f>
        <v/>
      </c>
      <c r="F295" s="87">
        <f>IF(A295="","",COUNTIFS(INTERVENTIONS!B:B,A295,INTERVENTIONS!L:L,"Ouverte"))</f>
        <v/>
      </c>
      <c r="G295" s="87">
        <f>IF(A295="","",COUNTIFS(COMPOSANTS!B:B,A295,COMPOSANTS!G:G,"Défectueux"))</f>
        <v/>
      </c>
      <c r="H295" s="87">
        <f>IF(A295="","",IFERROR(VLOOKUP(A295,EQUIPEMENTS!A:R,18,0),""))</f>
        <v/>
      </c>
      <c r="I295" s="87">
        <f>IF(A295="","",IF(AND(C295="Haute",D295="En panne"),"🔴 CRITIQUE",IF(OR(E295&gt;0,F295&gt;0,G295&gt;0),"🟠 ATTENTION","🟢 OK")))</f>
        <v/>
      </c>
      <c r="J295" s="87">
        <f>IF(A295="","",IFERROR(VLOOKUP(A295,EQUIPEMENTS!A:Q,17,0),""))</f>
        <v/>
      </c>
      <c r="K295" s="87" t="n"/>
    </row>
    <row r="296" ht="15" customHeight="1" s="59">
      <c r="A296" s="84">
        <f>IFERROR(EQUIPEMENTS!A296,"")</f>
        <v/>
      </c>
      <c r="B296" s="84">
        <f>IF(A296="","",IFERROR(VLOOKUP(A296,EQUIPEMENTS!A:B,2,0),""))</f>
        <v/>
      </c>
      <c r="C296" s="84">
        <f>IF(A296="","",IFERROR(VLOOKUP(A296,EQUIPEMENTS!A:D,4,0),""))</f>
        <v/>
      </c>
      <c r="D296" s="84">
        <f>IF(A296="","",IFERROR(VLOOKUP(A296,EQUIPEMENTS!A:M,13,0),""))</f>
        <v/>
      </c>
      <c r="E296" s="84">
        <f>IF(A296="","",COUNTIFS(MAINT_PREV!B:B,A296,MAINT_PREV!G:G,"Planifiée",MAINT_PREV!E:E,"&lt;"&amp;TODAY(),MAINT_PREV!H:H,""))</f>
        <v/>
      </c>
      <c r="F296" s="84">
        <f>IF(A296="","",COUNTIFS(INTERVENTIONS!B:B,A296,INTERVENTIONS!L:L,"Ouverte"))</f>
        <v/>
      </c>
      <c r="G296" s="84">
        <f>IF(A296="","",COUNTIFS(COMPOSANTS!B:B,A296,COMPOSANTS!G:G,"Défectueux"))</f>
        <v/>
      </c>
      <c r="H296" s="84">
        <f>IF(A296="","",IFERROR(VLOOKUP(A296,EQUIPEMENTS!A:R,18,0),""))</f>
        <v/>
      </c>
      <c r="I296" s="84">
        <f>IF(A296="","",IF(AND(C296="Haute",D296="En panne"),"🔴 CRITIQUE",IF(OR(E296&gt;0,F296&gt;0,G296&gt;0),"🟠 ATTENTION","🟢 OK")))</f>
        <v/>
      </c>
      <c r="J296" s="84">
        <f>IF(A296="","",IFERROR(VLOOKUP(A296,EQUIPEMENTS!A:Q,17,0),""))</f>
        <v/>
      </c>
      <c r="K296" s="84" t="n"/>
    </row>
    <row r="297" ht="15" customHeight="1" s="59">
      <c r="A297" s="87">
        <f>IFERROR(EQUIPEMENTS!A297,"")</f>
        <v/>
      </c>
      <c r="B297" s="87">
        <f>IF(A297="","",IFERROR(VLOOKUP(A297,EQUIPEMENTS!A:B,2,0),""))</f>
        <v/>
      </c>
      <c r="C297" s="87">
        <f>IF(A297="","",IFERROR(VLOOKUP(A297,EQUIPEMENTS!A:D,4,0),""))</f>
        <v/>
      </c>
      <c r="D297" s="87">
        <f>IF(A297="","",IFERROR(VLOOKUP(A297,EQUIPEMENTS!A:M,13,0),""))</f>
        <v/>
      </c>
      <c r="E297" s="87">
        <f>IF(A297="","",COUNTIFS(MAINT_PREV!B:B,A297,MAINT_PREV!G:G,"Planifiée",MAINT_PREV!E:E,"&lt;"&amp;TODAY(),MAINT_PREV!H:H,""))</f>
        <v/>
      </c>
      <c r="F297" s="87">
        <f>IF(A297="","",COUNTIFS(INTERVENTIONS!B:B,A297,INTERVENTIONS!L:L,"Ouverte"))</f>
        <v/>
      </c>
      <c r="G297" s="87">
        <f>IF(A297="","",COUNTIFS(COMPOSANTS!B:B,A297,COMPOSANTS!G:G,"Défectueux"))</f>
        <v/>
      </c>
      <c r="H297" s="87">
        <f>IF(A297="","",IFERROR(VLOOKUP(A297,EQUIPEMENTS!A:R,18,0),""))</f>
        <v/>
      </c>
      <c r="I297" s="87">
        <f>IF(A297="","",IF(AND(C297="Haute",D297="En panne"),"🔴 CRITIQUE",IF(OR(E297&gt;0,F297&gt;0,G297&gt;0),"🟠 ATTENTION","🟢 OK")))</f>
        <v/>
      </c>
      <c r="J297" s="87">
        <f>IF(A297="","",IFERROR(VLOOKUP(A297,EQUIPEMENTS!A:Q,17,0),""))</f>
        <v/>
      </c>
      <c r="K297" s="87" t="n"/>
    </row>
    <row r="298" ht="15" customHeight="1" s="59">
      <c r="A298" s="84">
        <f>IFERROR(EQUIPEMENTS!A298,"")</f>
        <v/>
      </c>
      <c r="B298" s="84">
        <f>IF(A298="","",IFERROR(VLOOKUP(A298,EQUIPEMENTS!A:B,2,0),""))</f>
        <v/>
      </c>
      <c r="C298" s="84">
        <f>IF(A298="","",IFERROR(VLOOKUP(A298,EQUIPEMENTS!A:D,4,0),""))</f>
        <v/>
      </c>
      <c r="D298" s="84">
        <f>IF(A298="","",IFERROR(VLOOKUP(A298,EQUIPEMENTS!A:M,13,0),""))</f>
        <v/>
      </c>
      <c r="E298" s="84">
        <f>IF(A298="","",COUNTIFS(MAINT_PREV!B:B,A298,MAINT_PREV!G:G,"Planifiée",MAINT_PREV!E:E,"&lt;"&amp;TODAY(),MAINT_PREV!H:H,""))</f>
        <v/>
      </c>
      <c r="F298" s="84">
        <f>IF(A298="","",COUNTIFS(INTERVENTIONS!B:B,A298,INTERVENTIONS!L:L,"Ouverte"))</f>
        <v/>
      </c>
      <c r="G298" s="84">
        <f>IF(A298="","",COUNTIFS(COMPOSANTS!B:B,A298,COMPOSANTS!G:G,"Défectueux"))</f>
        <v/>
      </c>
      <c r="H298" s="84">
        <f>IF(A298="","",IFERROR(VLOOKUP(A298,EQUIPEMENTS!A:R,18,0),""))</f>
        <v/>
      </c>
      <c r="I298" s="84">
        <f>IF(A298="","",IF(AND(C298="Haute",D298="En panne"),"🔴 CRITIQUE",IF(OR(E298&gt;0,F298&gt;0,G298&gt;0),"🟠 ATTENTION","🟢 OK")))</f>
        <v/>
      </c>
      <c r="J298" s="84">
        <f>IF(A298="","",IFERROR(VLOOKUP(A298,EQUIPEMENTS!A:Q,17,0),""))</f>
        <v/>
      </c>
      <c r="K298" s="84" t="n"/>
    </row>
    <row r="299" ht="15" customHeight="1" s="59">
      <c r="A299" s="87">
        <f>IFERROR(EQUIPEMENTS!A299,"")</f>
        <v/>
      </c>
      <c r="B299" s="87">
        <f>IF(A299="","",IFERROR(VLOOKUP(A299,EQUIPEMENTS!A:B,2,0),""))</f>
        <v/>
      </c>
      <c r="C299" s="87">
        <f>IF(A299="","",IFERROR(VLOOKUP(A299,EQUIPEMENTS!A:D,4,0),""))</f>
        <v/>
      </c>
      <c r="D299" s="87">
        <f>IF(A299="","",IFERROR(VLOOKUP(A299,EQUIPEMENTS!A:M,13,0),""))</f>
        <v/>
      </c>
      <c r="E299" s="87">
        <f>IF(A299="","",COUNTIFS(MAINT_PREV!B:B,A299,MAINT_PREV!G:G,"Planifiée",MAINT_PREV!E:E,"&lt;"&amp;TODAY(),MAINT_PREV!H:H,""))</f>
        <v/>
      </c>
      <c r="F299" s="87">
        <f>IF(A299="","",COUNTIFS(INTERVENTIONS!B:B,A299,INTERVENTIONS!L:L,"Ouverte"))</f>
        <v/>
      </c>
      <c r="G299" s="87">
        <f>IF(A299="","",COUNTIFS(COMPOSANTS!B:B,A299,COMPOSANTS!G:G,"Défectueux"))</f>
        <v/>
      </c>
      <c r="H299" s="87">
        <f>IF(A299="","",IFERROR(VLOOKUP(A299,EQUIPEMENTS!A:R,18,0),""))</f>
        <v/>
      </c>
      <c r="I299" s="87">
        <f>IF(A299="","",IF(AND(C299="Haute",D299="En panne"),"🔴 CRITIQUE",IF(OR(E299&gt;0,F299&gt;0,G299&gt;0),"🟠 ATTENTION","🟢 OK")))</f>
        <v/>
      </c>
      <c r="J299" s="87">
        <f>IF(A299="","",IFERROR(VLOOKUP(A299,EQUIPEMENTS!A:Q,17,0),""))</f>
        <v/>
      </c>
      <c r="K299" s="87" t="n"/>
    </row>
    <row r="300" ht="15" customHeight="1" s="59">
      <c r="A300" s="84">
        <f>IFERROR(EQUIPEMENTS!A300,"")</f>
        <v/>
      </c>
      <c r="B300" s="84">
        <f>IF(A300="","",IFERROR(VLOOKUP(A300,EQUIPEMENTS!A:B,2,0),""))</f>
        <v/>
      </c>
      <c r="C300" s="84">
        <f>IF(A300="","",IFERROR(VLOOKUP(A300,EQUIPEMENTS!A:D,4,0),""))</f>
        <v/>
      </c>
      <c r="D300" s="84">
        <f>IF(A300="","",IFERROR(VLOOKUP(A300,EQUIPEMENTS!A:M,13,0),""))</f>
        <v/>
      </c>
      <c r="E300" s="84">
        <f>IF(A300="","",COUNTIFS(MAINT_PREV!B:B,A300,MAINT_PREV!G:G,"Planifiée",MAINT_PREV!E:E,"&lt;"&amp;TODAY(),MAINT_PREV!H:H,""))</f>
        <v/>
      </c>
      <c r="F300" s="84">
        <f>IF(A300="","",COUNTIFS(INTERVENTIONS!B:B,A300,INTERVENTIONS!L:L,"Ouverte"))</f>
        <v/>
      </c>
      <c r="G300" s="84">
        <f>IF(A300="","",COUNTIFS(COMPOSANTS!B:B,A300,COMPOSANTS!G:G,"Défectueux"))</f>
        <v/>
      </c>
      <c r="H300" s="84">
        <f>IF(A300="","",IFERROR(VLOOKUP(A300,EQUIPEMENTS!A:R,18,0),""))</f>
        <v/>
      </c>
      <c r="I300" s="84">
        <f>IF(A300="","",IF(AND(C300="Haute",D300="En panne"),"🔴 CRITIQUE",IF(OR(E300&gt;0,F300&gt;0,G300&gt;0),"🟠 ATTENTION","🟢 OK")))</f>
        <v/>
      </c>
      <c r="J300" s="84">
        <f>IF(A300="","",IFERROR(VLOOKUP(A300,EQUIPEMENTS!A:Q,17,0),""))</f>
        <v/>
      </c>
      <c r="K300" s="84" t="n"/>
    </row>
    <row r="301" ht="15" customHeight="1" s="59">
      <c r="A301" s="87">
        <f>IFERROR(EQUIPEMENTS!A301,"")</f>
        <v/>
      </c>
      <c r="B301" s="87">
        <f>IF(A301="","",IFERROR(VLOOKUP(A301,EQUIPEMENTS!A:B,2,0),""))</f>
        <v/>
      </c>
      <c r="C301" s="87">
        <f>IF(A301="","",IFERROR(VLOOKUP(A301,EQUIPEMENTS!A:D,4,0),""))</f>
        <v/>
      </c>
      <c r="D301" s="87">
        <f>IF(A301="","",IFERROR(VLOOKUP(A301,EQUIPEMENTS!A:M,13,0),""))</f>
        <v/>
      </c>
      <c r="E301" s="87">
        <f>IF(A301="","",COUNTIFS(MAINT_PREV!B:B,A301,MAINT_PREV!G:G,"Planifiée",MAINT_PREV!E:E,"&lt;"&amp;TODAY(),MAINT_PREV!H:H,""))</f>
        <v/>
      </c>
      <c r="F301" s="87">
        <f>IF(A301="","",COUNTIFS(INTERVENTIONS!B:B,A301,INTERVENTIONS!L:L,"Ouverte"))</f>
        <v/>
      </c>
      <c r="G301" s="87">
        <f>IF(A301="","",COUNTIFS(COMPOSANTS!B:B,A301,COMPOSANTS!G:G,"Défectueux"))</f>
        <v/>
      </c>
      <c r="H301" s="87">
        <f>IF(A301="","",IFERROR(VLOOKUP(A301,EQUIPEMENTS!A:R,18,0),""))</f>
        <v/>
      </c>
      <c r="I301" s="87">
        <f>IF(A301="","",IF(AND(C301="Haute",D301="En panne"),"🔴 CRITIQUE",IF(OR(E301&gt;0,F301&gt;0,G301&gt;0),"🟠 ATTENTION","🟢 OK")))</f>
        <v/>
      </c>
      <c r="J301" s="87">
        <f>IF(A301="","",IFERROR(VLOOKUP(A301,EQUIPEMENTS!A:Q,17,0),""))</f>
        <v/>
      </c>
      <c r="K301" s="87" t="n"/>
    </row>
    <row r="302" ht="15" customHeight="1" s="59">
      <c r="A302" s="84">
        <f>IFERROR(EQUIPEMENTS!A302,"")</f>
        <v/>
      </c>
      <c r="B302" s="84">
        <f>IF(A302="","",IFERROR(VLOOKUP(A302,EQUIPEMENTS!A:B,2,0),""))</f>
        <v/>
      </c>
      <c r="C302" s="84">
        <f>IF(A302="","",IFERROR(VLOOKUP(A302,EQUIPEMENTS!A:D,4,0),""))</f>
        <v/>
      </c>
      <c r="D302" s="84">
        <f>IF(A302="","",IFERROR(VLOOKUP(A302,EQUIPEMENTS!A:M,13,0),""))</f>
        <v/>
      </c>
      <c r="E302" s="84">
        <f>IF(A302="","",COUNTIFS(MAINT_PREV!B:B,A302,MAINT_PREV!G:G,"Planifiée",MAINT_PREV!E:E,"&lt;"&amp;TODAY(),MAINT_PREV!H:H,""))</f>
        <v/>
      </c>
      <c r="F302" s="84">
        <f>IF(A302="","",COUNTIFS(INTERVENTIONS!B:B,A302,INTERVENTIONS!L:L,"Ouverte"))</f>
        <v/>
      </c>
      <c r="G302" s="84">
        <f>IF(A302="","",COUNTIFS(COMPOSANTS!B:B,A302,COMPOSANTS!G:G,"Défectueux"))</f>
        <v/>
      </c>
      <c r="H302" s="84">
        <f>IF(A302="","",IFERROR(VLOOKUP(A302,EQUIPEMENTS!A:R,18,0),""))</f>
        <v/>
      </c>
      <c r="I302" s="84">
        <f>IF(A302="","",IF(AND(C302="Haute",D302="En panne"),"🔴 CRITIQUE",IF(OR(E302&gt;0,F302&gt;0,G302&gt;0),"🟠 ATTENTION","🟢 OK")))</f>
        <v/>
      </c>
      <c r="J302" s="84">
        <f>IF(A302="","",IFERROR(VLOOKUP(A302,EQUIPEMENTS!A:Q,17,0),""))</f>
        <v/>
      </c>
      <c r="K302" s="84" t="n"/>
    </row>
    <row r="303" ht="15" customHeight="1" s="59">
      <c r="A303" s="87">
        <f>IFERROR(EQUIPEMENTS!A303,"")</f>
        <v/>
      </c>
      <c r="B303" s="87">
        <f>IF(A303="","",IFERROR(VLOOKUP(A303,EQUIPEMENTS!A:B,2,0),""))</f>
        <v/>
      </c>
      <c r="C303" s="87">
        <f>IF(A303="","",IFERROR(VLOOKUP(A303,EQUIPEMENTS!A:D,4,0),""))</f>
        <v/>
      </c>
      <c r="D303" s="87">
        <f>IF(A303="","",IFERROR(VLOOKUP(A303,EQUIPEMENTS!A:M,13,0),""))</f>
        <v/>
      </c>
      <c r="E303" s="87">
        <f>IF(A303="","",COUNTIFS(MAINT_PREV!B:B,A303,MAINT_PREV!G:G,"Planifiée",MAINT_PREV!E:E,"&lt;"&amp;TODAY(),MAINT_PREV!H:H,""))</f>
        <v/>
      </c>
      <c r="F303" s="87">
        <f>IF(A303="","",COUNTIFS(INTERVENTIONS!B:B,A303,INTERVENTIONS!L:L,"Ouverte"))</f>
        <v/>
      </c>
      <c r="G303" s="87">
        <f>IF(A303="","",COUNTIFS(COMPOSANTS!B:B,A303,COMPOSANTS!G:G,"Défectueux"))</f>
        <v/>
      </c>
      <c r="H303" s="87">
        <f>IF(A303="","",IFERROR(VLOOKUP(A303,EQUIPEMENTS!A:R,18,0),""))</f>
        <v/>
      </c>
      <c r="I303" s="87">
        <f>IF(A303="","",IF(AND(C303="Haute",D303="En panne"),"🔴 CRITIQUE",IF(OR(E303&gt;0,F303&gt;0,G303&gt;0),"🟠 ATTENTION","🟢 OK")))</f>
        <v/>
      </c>
      <c r="J303" s="87">
        <f>IF(A303="","",IFERROR(VLOOKUP(A303,EQUIPEMENTS!A:Q,17,0),""))</f>
        <v/>
      </c>
      <c r="K303" s="87" t="n"/>
    </row>
    <row r="304" ht="15" customHeight="1" s="59">
      <c r="A304" s="84">
        <f>IFERROR(EQUIPEMENTS!A304,"")</f>
        <v/>
      </c>
      <c r="B304" s="84">
        <f>IF(A304="","",IFERROR(VLOOKUP(A304,EQUIPEMENTS!A:B,2,0),""))</f>
        <v/>
      </c>
      <c r="C304" s="84">
        <f>IF(A304="","",IFERROR(VLOOKUP(A304,EQUIPEMENTS!A:D,4,0),""))</f>
        <v/>
      </c>
      <c r="D304" s="84">
        <f>IF(A304="","",IFERROR(VLOOKUP(A304,EQUIPEMENTS!A:M,13,0),""))</f>
        <v/>
      </c>
      <c r="E304" s="84">
        <f>IF(A304="","",COUNTIFS(MAINT_PREV!B:B,A304,MAINT_PREV!G:G,"Planifiée",MAINT_PREV!E:E,"&lt;"&amp;TODAY(),MAINT_PREV!H:H,""))</f>
        <v/>
      </c>
      <c r="F304" s="84">
        <f>IF(A304="","",COUNTIFS(INTERVENTIONS!B:B,A304,INTERVENTIONS!L:L,"Ouverte"))</f>
        <v/>
      </c>
      <c r="G304" s="84">
        <f>IF(A304="","",COUNTIFS(COMPOSANTS!B:B,A304,COMPOSANTS!G:G,"Défectueux"))</f>
        <v/>
      </c>
      <c r="H304" s="84">
        <f>IF(A304="","",IFERROR(VLOOKUP(A304,EQUIPEMENTS!A:R,18,0),""))</f>
        <v/>
      </c>
      <c r="I304" s="84">
        <f>IF(A304="","",IF(AND(C304="Haute",D304="En panne"),"🔴 CRITIQUE",IF(OR(E304&gt;0,F304&gt;0,G304&gt;0),"🟠 ATTENTION","🟢 OK")))</f>
        <v/>
      </c>
      <c r="J304" s="84">
        <f>IF(A304="","",IFERROR(VLOOKUP(A304,EQUIPEMENTS!A:Q,17,0),""))</f>
        <v/>
      </c>
      <c r="K304" s="84" t="n"/>
    </row>
    <row r="305" ht="15" customHeight="1" s="59">
      <c r="A305" s="87">
        <f>IFERROR(EQUIPEMENTS!A305,"")</f>
        <v/>
      </c>
      <c r="B305" s="87">
        <f>IF(A305="","",IFERROR(VLOOKUP(A305,EQUIPEMENTS!A:B,2,0),""))</f>
        <v/>
      </c>
      <c r="C305" s="87">
        <f>IF(A305="","",IFERROR(VLOOKUP(A305,EQUIPEMENTS!A:D,4,0),""))</f>
        <v/>
      </c>
      <c r="D305" s="87">
        <f>IF(A305="","",IFERROR(VLOOKUP(A305,EQUIPEMENTS!A:M,13,0),""))</f>
        <v/>
      </c>
      <c r="E305" s="87">
        <f>IF(A305="","",COUNTIFS(MAINT_PREV!B:B,A305,MAINT_PREV!G:G,"Planifiée",MAINT_PREV!E:E,"&lt;"&amp;TODAY(),MAINT_PREV!H:H,""))</f>
        <v/>
      </c>
      <c r="F305" s="87">
        <f>IF(A305="","",COUNTIFS(INTERVENTIONS!B:B,A305,INTERVENTIONS!L:L,"Ouverte"))</f>
        <v/>
      </c>
      <c r="G305" s="87">
        <f>IF(A305="","",COUNTIFS(COMPOSANTS!B:B,A305,COMPOSANTS!G:G,"Défectueux"))</f>
        <v/>
      </c>
      <c r="H305" s="87">
        <f>IF(A305="","",IFERROR(VLOOKUP(A305,EQUIPEMENTS!A:R,18,0),""))</f>
        <v/>
      </c>
      <c r="I305" s="87">
        <f>IF(A305="","",IF(AND(C305="Haute",D305="En panne"),"🔴 CRITIQUE",IF(OR(E305&gt;0,F305&gt;0,G305&gt;0),"🟠 ATTENTION","🟢 OK")))</f>
        <v/>
      </c>
      <c r="J305" s="87">
        <f>IF(A305="","",IFERROR(VLOOKUP(A305,EQUIPEMENTS!A:Q,17,0),""))</f>
        <v/>
      </c>
      <c r="K305" s="87" t="n"/>
    </row>
    <row r="306" ht="15" customHeight="1" s="59">
      <c r="A306" s="84">
        <f>IFERROR(EQUIPEMENTS!A306,"")</f>
        <v/>
      </c>
      <c r="B306" s="84">
        <f>IF(A306="","",IFERROR(VLOOKUP(A306,EQUIPEMENTS!A:B,2,0),""))</f>
        <v/>
      </c>
      <c r="C306" s="84">
        <f>IF(A306="","",IFERROR(VLOOKUP(A306,EQUIPEMENTS!A:D,4,0),""))</f>
        <v/>
      </c>
      <c r="D306" s="84">
        <f>IF(A306="","",IFERROR(VLOOKUP(A306,EQUIPEMENTS!A:M,13,0),""))</f>
        <v/>
      </c>
      <c r="E306" s="84">
        <f>IF(A306="","",COUNTIFS(MAINT_PREV!B:B,A306,MAINT_PREV!G:G,"Planifiée",MAINT_PREV!E:E,"&lt;"&amp;TODAY(),MAINT_PREV!H:H,""))</f>
        <v/>
      </c>
      <c r="F306" s="84">
        <f>IF(A306="","",COUNTIFS(INTERVENTIONS!B:B,A306,INTERVENTIONS!L:L,"Ouverte"))</f>
        <v/>
      </c>
      <c r="G306" s="84">
        <f>IF(A306="","",COUNTIFS(COMPOSANTS!B:B,A306,COMPOSANTS!G:G,"Défectueux"))</f>
        <v/>
      </c>
      <c r="H306" s="84">
        <f>IF(A306="","",IFERROR(VLOOKUP(A306,EQUIPEMENTS!A:R,18,0),""))</f>
        <v/>
      </c>
      <c r="I306" s="84">
        <f>IF(A306="","",IF(AND(C306="Haute",D306="En panne"),"🔴 CRITIQUE",IF(OR(E306&gt;0,F306&gt;0,G306&gt;0),"🟠 ATTENTION","🟢 OK")))</f>
        <v/>
      </c>
      <c r="J306" s="84">
        <f>IF(A306="","",IFERROR(VLOOKUP(A306,EQUIPEMENTS!A:Q,17,0),""))</f>
        <v/>
      </c>
      <c r="K306" s="84" t="n"/>
    </row>
    <row r="307" ht="15" customHeight="1" s="59">
      <c r="A307" s="87">
        <f>IFERROR(EQUIPEMENTS!A307,"")</f>
        <v/>
      </c>
      <c r="B307" s="87">
        <f>IF(A307="","",IFERROR(VLOOKUP(A307,EQUIPEMENTS!A:B,2,0),""))</f>
        <v/>
      </c>
      <c r="C307" s="87">
        <f>IF(A307="","",IFERROR(VLOOKUP(A307,EQUIPEMENTS!A:D,4,0),""))</f>
        <v/>
      </c>
      <c r="D307" s="87">
        <f>IF(A307="","",IFERROR(VLOOKUP(A307,EQUIPEMENTS!A:M,13,0),""))</f>
        <v/>
      </c>
      <c r="E307" s="87">
        <f>IF(A307="","",COUNTIFS(MAINT_PREV!B:B,A307,MAINT_PREV!G:G,"Planifiée",MAINT_PREV!E:E,"&lt;"&amp;TODAY(),MAINT_PREV!H:H,""))</f>
        <v/>
      </c>
      <c r="F307" s="87">
        <f>IF(A307="","",COUNTIFS(INTERVENTIONS!B:B,A307,INTERVENTIONS!L:L,"Ouverte"))</f>
        <v/>
      </c>
      <c r="G307" s="87">
        <f>IF(A307="","",COUNTIFS(COMPOSANTS!B:B,A307,COMPOSANTS!G:G,"Défectueux"))</f>
        <v/>
      </c>
      <c r="H307" s="87">
        <f>IF(A307="","",IFERROR(VLOOKUP(A307,EQUIPEMENTS!A:R,18,0),""))</f>
        <v/>
      </c>
      <c r="I307" s="87">
        <f>IF(A307="","",IF(AND(C307="Haute",D307="En panne"),"🔴 CRITIQUE",IF(OR(E307&gt;0,F307&gt;0,G307&gt;0),"🟠 ATTENTION","🟢 OK")))</f>
        <v/>
      </c>
      <c r="J307" s="87">
        <f>IF(A307="","",IFERROR(VLOOKUP(A307,EQUIPEMENTS!A:Q,17,0),""))</f>
        <v/>
      </c>
      <c r="K307" s="87" t="n"/>
    </row>
    <row r="308" ht="15" customHeight="1" s="59">
      <c r="A308" s="84">
        <f>IFERROR(EQUIPEMENTS!A308,"")</f>
        <v/>
      </c>
      <c r="B308" s="84">
        <f>IF(A308="","",IFERROR(VLOOKUP(A308,EQUIPEMENTS!A:B,2,0),""))</f>
        <v/>
      </c>
      <c r="C308" s="84">
        <f>IF(A308="","",IFERROR(VLOOKUP(A308,EQUIPEMENTS!A:D,4,0),""))</f>
        <v/>
      </c>
      <c r="D308" s="84">
        <f>IF(A308="","",IFERROR(VLOOKUP(A308,EQUIPEMENTS!A:M,13,0),""))</f>
        <v/>
      </c>
      <c r="E308" s="84">
        <f>IF(A308="","",COUNTIFS(MAINT_PREV!B:B,A308,MAINT_PREV!G:G,"Planifiée",MAINT_PREV!E:E,"&lt;"&amp;TODAY(),MAINT_PREV!H:H,""))</f>
        <v/>
      </c>
      <c r="F308" s="84">
        <f>IF(A308="","",COUNTIFS(INTERVENTIONS!B:B,A308,INTERVENTIONS!L:L,"Ouverte"))</f>
        <v/>
      </c>
      <c r="G308" s="84">
        <f>IF(A308="","",COUNTIFS(COMPOSANTS!B:B,A308,COMPOSANTS!G:G,"Défectueux"))</f>
        <v/>
      </c>
      <c r="H308" s="84">
        <f>IF(A308="","",IFERROR(VLOOKUP(A308,EQUIPEMENTS!A:R,18,0),""))</f>
        <v/>
      </c>
      <c r="I308" s="84">
        <f>IF(A308="","",IF(AND(C308="Haute",D308="En panne"),"🔴 CRITIQUE",IF(OR(E308&gt;0,F308&gt;0,G308&gt;0),"🟠 ATTENTION","🟢 OK")))</f>
        <v/>
      </c>
      <c r="J308" s="84">
        <f>IF(A308="","",IFERROR(VLOOKUP(A308,EQUIPEMENTS!A:Q,17,0),""))</f>
        <v/>
      </c>
      <c r="K308" s="84" t="n"/>
    </row>
    <row r="309" ht="15" customHeight="1" s="59">
      <c r="A309" s="87">
        <f>IFERROR(EQUIPEMENTS!A309,"")</f>
        <v/>
      </c>
      <c r="B309" s="87">
        <f>IF(A309="","",IFERROR(VLOOKUP(A309,EQUIPEMENTS!A:B,2,0),""))</f>
        <v/>
      </c>
      <c r="C309" s="87">
        <f>IF(A309="","",IFERROR(VLOOKUP(A309,EQUIPEMENTS!A:D,4,0),""))</f>
        <v/>
      </c>
      <c r="D309" s="87">
        <f>IF(A309="","",IFERROR(VLOOKUP(A309,EQUIPEMENTS!A:M,13,0),""))</f>
        <v/>
      </c>
      <c r="E309" s="87">
        <f>IF(A309="","",COUNTIFS(MAINT_PREV!B:B,A309,MAINT_PREV!G:G,"Planifiée",MAINT_PREV!E:E,"&lt;"&amp;TODAY(),MAINT_PREV!H:H,""))</f>
        <v/>
      </c>
      <c r="F309" s="87">
        <f>IF(A309="","",COUNTIFS(INTERVENTIONS!B:B,A309,INTERVENTIONS!L:L,"Ouverte"))</f>
        <v/>
      </c>
      <c r="G309" s="87">
        <f>IF(A309="","",COUNTIFS(COMPOSANTS!B:B,A309,COMPOSANTS!G:G,"Défectueux"))</f>
        <v/>
      </c>
      <c r="H309" s="87">
        <f>IF(A309="","",IFERROR(VLOOKUP(A309,EQUIPEMENTS!A:R,18,0),""))</f>
        <v/>
      </c>
      <c r="I309" s="87">
        <f>IF(A309="","",IF(AND(C309="Haute",D309="En panne"),"🔴 CRITIQUE",IF(OR(E309&gt;0,F309&gt;0,G309&gt;0),"🟠 ATTENTION","🟢 OK")))</f>
        <v/>
      </c>
      <c r="J309" s="87">
        <f>IF(A309="","",IFERROR(VLOOKUP(A309,EQUIPEMENTS!A:Q,17,0),""))</f>
        <v/>
      </c>
      <c r="K309" s="87" t="n"/>
    </row>
    <row r="310" ht="15" customHeight="1" s="59">
      <c r="A310" s="84">
        <f>IFERROR(EQUIPEMENTS!A310,"")</f>
        <v/>
      </c>
      <c r="B310" s="84">
        <f>IF(A310="","",IFERROR(VLOOKUP(A310,EQUIPEMENTS!A:B,2,0),""))</f>
        <v/>
      </c>
      <c r="C310" s="84">
        <f>IF(A310="","",IFERROR(VLOOKUP(A310,EQUIPEMENTS!A:D,4,0),""))</f>
        <v/>
      </c>
      <c r="D310" s="84">
        <f>IF(A310="","",IFERROR(VLOOKUP(A310,EQUIPEMENTS!A:M,13,0),""))</f>
        <v/>
      </c>
      <c r="E310" s="84">
        <f>IF(A310="","",COUNTIFS(MAINT_PREV!B:B,A310,MAINT_PREV!G:G,"Planifiée",MAINT_PREV!E:E,"&lt;"&amp;TODAY(),MAINT_PREV!H:H,""))</f>
        <v/>
      </c>
      <c r="F310" s="84">
        <f>IF(A310="","",COUNTIFS(INTERVENTIONS!B:B,A310,INTERVENTIONS!L:L,"Ouverte"))</f>
        <v/>
      </c>
      <c r="G310" s="84">
        <f>IF(A310="","",COUNTIFS(COMPOSANTS!B:B,A310,COMPOSANTS!G:G,"Défectueux"))</f>
        <v/>
      </c>
      <c r="H310" s="84">
        <f>IF(A310="","",IFERROR(VLOOKUP(A310,EQUIPEMENTS!A:R,18,0),""))</f>
        <v/>
      </c>
      <c r="I310" s="84">
        <f>IF(A310="","",IF(AND(C310="Haute",D310="En panne"),"🔴 CRITIQUE",IF(OR(E310&gt;0,F310&gt;0,G310&gt;0),"🟠 ATTENTION","🟢 OK")))</f>
        <v/>
      </c>
      <c r="J310" s="84">
        <f>IF(A310="","",IFERROR(VLOOKUP(A310,EQUIPEMENTS!A:Q,17,0),""))</f>
        <v/>
      </c>
      <c r="K310" s="84" t="n"/>
    </row>
    <row r="311" ht="15" customHeight="1" s="59">
      <c r="A311" s="87">
        <f>IFERROR(EQUIPEMENTS!A311,"")</f>
        <v/>
      </c>
      <c r="B311" s="87">
        <f>IF(A311="","",IFERROR(VLOOKUP(A311,EQUIPEMENTS!A:B,2,0),""))</f>
        <v/>
      </c>
      <c r="C311" s="87">
        <f>IF(A311="","",IFERROR(VLOOKUP(A311,EQUIPEMENTS!A:D,4,0),""))</f>
        <v/>
      </c>
      <c r="D311" s="87">
        <f>IF(A311="","",IFERROR(VLOOKUP(A311,EQUIPEMENTS!A:M,13,0),""))</f>
        <v/>
      </c>
      <c r="E311" s="87">
        <f>IF(A311="","",COUNTIFS(MAINT_PREV!B:B,A311,MAINT_PREV!G:G,"Planifiée",MAINT_PREV!E:E,"&lt;"&amp;TODAY(),MAINT_PREV!H:H,""))</f>
        <v/>
      </c>
      <c r="F311" s="87">
        <f>IF(A311="","",COUNTIFS(INTERVENTIONS!B:B,A311,INTERVENTIONS!L:L,"Ouverte"))</f>
        <v/>
      </c>
      <c r="G311" s="87">
        <f>IF(A311="","",COUNTIFS(COMPOSANTS!B:B,A311,COMPOSANTS!G:G,"Défectueux"))</f>
        <v/>
      </c>
      <c r="H311" s="87">
        <f>IF(A311="","",IFERROR(VLOOKUP(A311,EQUIPEMENTS!A:R,18,0),""))</f>
        <v/>
      </c>
      <c r="I311" s="87">
        <f>IF(A311="","",IF(AND(C311="Haute",D311="En panne"),"🔴 CRITIQUE",IF(OR(E311&gt;0,F311&gt;0,G311&gt;0),"🟠 ATTENTION","🟢 OK")))</f>
        <v/>
      </c>
      <c r="J311" s="87">
        <f>IF(A311="","",IFERROR(VLOOKUP(A311,EQUIPEMENTS!A:Q,17,0),""))</f>
        <v/>
      </c>
      <c r="K311" s="87" t="n"/>
    </row>
    <row r="312" ht="15" customHeight="1" s="59">
      <c r="A312" s="84">
        <f>IFERROR(EQUIPEMENTS!A312,"")</f>
        <v/>
      </c>
      <c r="B312" s="84">
        <f>IF(A312="","",IFERROR(VLOOKUP(A312,EQUIPEMENTS!A:B,2,0),""))</f>
        <v/>
      </c>
      <c r="C312" s="84">
        <f>IF(A312="","",IFERROR(VLOOKUP(A312,EQUIPEMENTS!A:D,4,0),""))</f>
        <v/>
      </c>
      <c r="D312" s="84">
        <f>IF(A312="","",IFERROR(VLOOKUP(A312,EQUIPEMENTS!A:M,13,0),""))</f>
        <v/>
      </c>
      <c r="E312" s="84">
        <f>IF(A312="","",COUNTIFS(MAINT_PREV!B:B,A312,MAINT_PREV!G:G,"Planifiée",MAINT_PREV!E:E,"&lt;"&amp;TODAY(),MAINT_PREV!H:H,""))</f>
        <v/>
      </c>
      <c r="F312" s="84">
        <f>IF(A312="","",COUNTIFS(INTERVENTIONS!B:B,A312,INTERVENTIONS!L:L,"Ouverte"))</f>
        <v/>
      </c>
      <c r="G312" s="84">
        <f>IF(A312="","",COUNTIFS(COMPOSANTS!B:B,A312,COMPOSANTS!G:G,"Défectueux"))</f>
        <v/>
      </c>
      <c r="H312" s="84">
        <f>IF(A312="","",IFERROR(VLOOKUP(A312,EQUIPEMENTS!A:R,18,0),""))</f>
        <v/>
      </c>
      <c r="I312" s="84">
        <f>IF(A312="","",IF(AND(C312="Haute",D312="En panne"),"🔴 CRITIQUE",IF(OR(E312&gt;0,F312&gt;0,G312&gt;0),"🟠 ATTENTION","🟢 OK")))</f>
        <v/>
      </c>
      <c r="J312" s="84">
        <f>IF(A312="","",IFERROR(VLOOKUP(A312,EQUIPEMENTS!A:Q,17,0),""))</f>
        <v/>
      </c>
      <c r="K312" s="84" t="n"/>
    </row>
    <row r="313" ht="15" customHeight="1" s="59">
      <c r="A313" s="87">
        <f>IFERROR(EQUIPEMENTS!A313,"")</f>
        <v/>
      </c>
      <c r="B313" s="87">
        <f>IF(A313="","",IFERROR(VLOOKUP(A313,EQUIPEMENTS!A:B,2,0),""))</f>
        <v/>
      </c>
      <c r="C313" s="87">
        <f>IF(A313="","",IFERROR(VLOOKUP(A313,EQUIPEMENTS!A:D,4,0),""))</f>
        <v/>
      </c>
      <c r="D313" s="87">
        <f>IF(A313="","",IFERROR(VLOOKUP(A313,EQUIPEMENTS!A:M,13,0),""))</f>
        <v/>
      </c>
      <c r="E313" s="87">
        <f>IF(A313="","",COUNTIFS(MAINT_PREV!B:B,A313,MAINT_PREV!G:G,"Planifiée",MAINT_PREV!E:E,"&lt;"&amp;TODAY(),MAINT_PREV!H:H,""))</f>
        <v/>
      </c>
      <c r="F313" s="87">
        <f>IF(A313="","",COUNTIFS(INTERVENTIONS!B:B,A313,INTERVENTIONS!L:L,"Ouverte"))</f>
        <v/>
      </c>
      <c r="G313" s="87">
        <f>IF(A313="","",COUNTIFS(COMPOSANTS!B:B,A313,COMPOSANTS!G:G,"Défectueux"))</f>
        <v/>
      </c>
      <c r="H313" s="87">
        <f>IF(A313="","",IFERROR(VLOOKUP(A313,EQUIPEMENTS!A:R,18,0),""))</f>
        <v/>
      </c>
      <c r="I313" s="87">
        <f>IF(A313="","",IF(AND(C313="Haute",D313="En panne"),"🔴 CRITIQUE",IF(OR(E313&gt;0,F313&gt;0,G313&gt;0),"🟠 ATTENTION","🟢 OK")))</f>
        <v/>
      </c>
      <c r="J313" s="87">
        <f>IF(A313="","",IFERROR(VLOOKUP(A313,EQUIPEMENTS!A:Q,17,0),""))</f>
        <v/>
      </c>
      <c r="K313" s="87" t="n"/>
    </row>
    <row r="314" ht="15" customHeight="1" s="59">
      <c r="A314" s="84">
        <f>IFERROR(EQUIPEMENTS!A314,"")</f>
        <v/>
      </c>
      <c r="B314" s="84">
        <f>IF(A314="","",IFERROR(VLOOKUP(A314,EQUIPEMENTS!A:B,2,0),""))</f>
        <v/>
      </c>
      <c r="C314" s="84">
        <f>IF(A314="","",IFERROR(VLOOKUP(A314,EQUIPEMENTS!A:D,4,0),""))</f>
        <v/>
      </c>
      <c r="D314" s="84">
        <f>IF(A314="","",IFERROR(VLOOKUP(A314,EQUIPEMENTS!A:M,13,0),""))</f>
        <v/>
      </c>
      <c r="E314" s="84">
        <f>IF(A314="","",COUNTIFS(MAINT_PREV!B:B,A314,MAINT_PREV!G:G,"Planifiée",MAINT_PREV!E:E,"&lt;"&amp;TODAY(),MAINT_PREV!H:H,""))</f>
        <v/>
      </c>
      <c r="F314" s="84">
        <f>IF(A314="","",COUNTIFS(INTERVENTIONS!B:B,A314,INTERVENTIONS!L:L,"Ouverte"))</f>
        <v/>
      </c>
      <c r="G314" s="84">
        <f>IF(A314="","",COUNTIFS(COMPOSANTS!B:B,A314,COMPOSANTS!G:G,"Défectueux"))</f>
        <v/>
      </c>
      <c r="H314" s="84">
        <f>IF(A314="","",IFERROR(VLOOKUP(A314,EQUIPEMENTS!A:R,18,0),""))</f>
        <v/>
      </c>
      <c r="I314" s="84">
        <f>IF(A314="","",IF(AND(C314="Haute",D314="En panne"),"🔴 CRITIQUE",IF(OR(E314&gt;0,F314&gt;0,G314&gt;0),"🟠 ATTENTION","🟢 OK")))</f>
        <v/>
      </c>
      <c r="J314" s="84">
        <f>IF(A314="","",IFERROR(VLOOKUP(A314,EQUIPEMENTS!A:Q,17,0),""))</f>
        <v/>
      </c>
      <c r="K314" s="84" t="n"/>
    </row>
    <row r="315" ht="15" customHeight="1" s="59">
      <c r="A315" s="87">
        <f>IFERROR(EQUIPEMENTS!A315,"")</f>
        <v/>
      </c>
      <c r="B315" s="87">
        <f>IF(A315="","",IFERROR(VLOOKUP(A315,EQUIPEMENTS!A:B,2,0),""))</f>
        <v/>
      </c>
      <c r="C315" s="87">
        <f>IF(A315="","",IFERROR(VLOOKUP(A315,EQUIPEMENTS!A:D,4,0),""))</f>
        <v/>
      </c>
      <c r="D315" s="87">
        <f>IF(A315="","",IFERROR(VLOOKUP(A315,EQUIPEMENTS!A:M,13,0),""))</f>
        <v/>
      </c>
      <c r="E315" s="87">
        <f>IF(A315="","",COUNTIFS(MAINT_PREV!B:B,A315,MAINT_PREV!G:G,"Planifiée",MAINT_PREV!E:E,"&lt;"&amp;TODAY(),MAINT_PREV!H:H,""))</f>
        <v/>
      </c>
      <c r="F315" s="87">
        <f>IF(A315="","",COUNTIFS(INTERVENTIONS!B:B,A315,INTERVENTIONS!L:L,"Ouverte"))</f>
        <v/>
      </c>
      <c r="G315" s="87">
        <f>IF(A315="","",COUNTIFS(COMPOSANTS!B:B,A315,COMPOSANTS!G:G,"Défectueux"))</f>
        <v/>
      </c>
      <c r="H315" s="87">
        <f>IF(A315="","",IFERROR(VLOOKUP(A315,EQUIPEMENTS!A:R,18,0),""))</f>
        <v/>
      </c>
      <c r="I315" s="87">
        <f>IF(A315="","",IF(AND(C315="Haute",D315="En panne"),"🔴 CRITIQUE",IF(OR(E315&gt;0,F315&gt;0,G315&gt;0),"🟠 ATTENTION","🟢 OK")))</f>
        <v/>
      </c>
      <c r="J315" s="87">
        <f>IF(A315="","",IFERROR(VLOOKUP(A315,EQUIPEMENTS!A:Q,17,0),""))</f>
        <v/>
      </c>
      <c r="K315" s="87" t="n"/>
    </row>
    <row r="316" ht="15" customHeight="1" s="59">
      <c r="A316" s="84">
        <f>IFERROR(EQUIPEMENTS!A316,"")</f>
        <v/>
      </c>
      <c r="B316" s="84">
        <f>IF(A316="","",IFERROR(VLOOKUP(A316,EQUIPEMENTS!A:B,2,0),""))</f>
        <v/>
      </c>
      <c r="C316" s="84">
        <f>IF(A316="","",IFERROR(VLOOKUP(A316,EQUIPEMENTS!A:D,4,0),""))</f>
        <v/>
      </c>
      <c r="D316" s="84">
        <f>IF(A316="","",IFERROR(VLOOKUP(A316,EQUIPEMENTS!A:M,13,0),""))</f>
        <v/>
      </c>
      <c r="E316" s="84">
        <f>IF(A316="","",COUNTIFS(MAINT_PREV!B:B,A316,MAINT_PREV!G:G,"Planifiée",MAINT_PREV!E:E,"&lt;"&amp;TODAY(),MAINT_PREV!H:H,""))</f>
        <v/>
      </c>
      <c r="F316" s="84">
        <f>IF(A316="","",COUNTIFS(INTERVENTIONS!B:B,A316,INTERVENTIONS!L:L,"Ouverte"))</f>
        <v/>
      </c>
      <c r="G316" s="84">
        <f>IF(A316="","",COUNTIFS(COMPOSANTS!B:B,A316,COMPOSANTS!G:G,"Défectueux"))</f>
        <v/>
      </c>
      <c r="H316" s="84">
        <f>IF(A316="","",IFERROR(VLOOKUP(A316,EQUIPEMENTS!A:R,18,0),""))</f>
        <v/>
      </c>
      <c r="I316" s="84">
        <f>IF(A316="","",IF(AND(C316="Haute",D316="En panne"),"🔴 CRITIQUE",IF(OR(E316&gt;0,F316&gt;0,G316&gt;0),"🟠 ATTENTION","🟢 OK")))</f>
        <v/>
      </c>
      <c r="J316" s="84">
        <f>IF(A316="","",IFERROR(VLOOKUP(A316,EQUIPEMENTS!A:Q,17,0),""))</f>
        <v/>
      </c>
      <c r="K316" s="84" t="n"/>
    </row>
    <row r="317" ht="15" customHeight="1" s="59">
      <c r="A317" s="87">
        <f>IFERROR(EQUIPEMENTS!A317,"")</f>
        <v/>
      </c>
      <c r="B317" s="87">
        <f>IF(A317="","",IFERROR(VLOOKUP(A317,EQUIPEMENTS!A:B,2,0),""))</f>
        <v/>
      </c>
      <c r="C317" s="87">
        <f>IF(A317="","",IFERROR(VLOOKUP(A317,EQUIPEMENTS!A:D,4,0),""))</f>
        <v/>
      </c>
      <c r="D317" s="87">
        <f>IF(A317="","",IFERROR(VLOOKUP(A317,EQUIPEMENTS!A:M,13,0),""))</f>
        <v/>
      </c>
      <c r="E317" s="87">
        <f>IF(A317="","",COUNTIFS(MAINT_PREV!B:B,A317,MAINT_PREV!G:G,"Planifiée",MAINT_PREV!E:E,"&lt;"&amp;TODAY(),MAINT_PREV!H:H,""))</f>
        <v/>
      </c>
      <c r="F317" s="87">
        <f>IF(A317="","",COUNTIFS(INTERVENTIONS!B:B,A317,INTERVENTIONS!L:L,"Ouverte"))</f>
        <v/>
      </c>
      <c r="G317" s="87">
        <f>IF(A317="","",COUNTIFS(COMPOSANTS!B:B,A317,COMPOSANTS!G:G,"Défectueux"))</f>
        <v/>
      </c>
      <c r="H317" s="87">
        <f>IF(A317="","",IFERROR(VLOOKUP(A317,EQUIPEMENTS!A:R,18,0),""))</f>
        <v/>
      </c>
      <c r="I317" s="87">
        <f>IF(A317="","",IF(AND(C317="Haute",D317="En panne"),"🔴 CRITIQUE",IF(OR(E317&gt;0,F317&gt;0,G317&gt;0),"🟠 ATTENTION","🟢 OK")))</f>
        <v/>
      </c>
      <c r="J317" s="87">
        <f>IF(A317="","",IFERROR(VLOOKUP(A317,EQUIPEMENTS!A:Q,17,0),""))</f>
        <v/>
      </c>
      <c r="K317" s="87" t="n"/>
    </row>
    <row r="318" ht="15" customHeight="1" s="59">
      <c r="A318" s="84">
        <f>IFERROR(EQUIPEMENTS!A318,"")</f>
        <v/>
      </c>
      <c r="B318" s="84">
        <f>IF(A318="","",IFERROR(VLOOKUP(A318,EQUIPEMENTS!A:B,2,0),""))</f>
        <v/>
      </c>
      <c r="C318" s="84">
        <f>IF(A318="","",IFERROR(VLOOKUP(A318,EQUIPEMENTS!A:D,4,0),""))</f>
        <v/>
      </c>
      <c r="D318" s="84">
        <f>IF(A318="","",IFERROR(VLOOKUP(A318,EQUIPEMENTS!A:M,13,0),""))</f>
        <v/>
      </c>
      <c r="E318" s="84">
        <f>IF(A318="","",COUNTIFS(MAINT_PREV!B:B,A318,MAINT_PREV!G:G,"Planifiée",MAINT_PREV!E:E,"&lt;"&amp;TODAY(),MAINT_PREV!H:H,""))</f>
        <v/>
      </c>
      <c r="F318" s="84">
        <f>IF(A318="","",COUNTIFS(INTERVENTIONS!B:B,A318,INTERVENTIONS!L:L,"Ouverte"))</f>
        <v/>
      </c>
      <c r="G318" s="84">
        <f>IF(A318="","",COUNTIFS(COMPOSANTS!B:B,A318,COMPOSANTS!G:G,"Défectueux"))</f>
        <v/>
      </c>
      <c r="H318" s="84">
        <f>IF(A318="","",IFERROR(VLOOKUP(A318,EQUIPEMENTS!A:R,18,0),""))</f>
        <v/>
      </c>
      <c r="I318" s="84">
        <f>IF(A318="","",IF(AND(C318="Haute",D318="En panne"),"🔴 CRITIQUE",IF(OR(E318&gt;0,F318&gt;0,G318&gt;0),"🟠 ATTENTION","🟢 OK")))</f>
        <v/>
      </c>
      <c r="J318" s="84">
        <f>IF(A318="","",IFERROR(VLOOKUP(A318,EQUIPEMENTS!A:Q,17,0),""))</f>
        <v/>
      </c>
      <c r="K318" s="84" t="n"/>
    </row>
    <row r="319" ht="15" customHeight="1" s="59">
      <c r="A319" s="87">
        <f>IFERROR(EQUIPEMENTS!A319,"")</f>
        <v/>
      </c>
      <c r="B319" s="87">
        <f>IF(A319="","",IFERROR(VLOOKUP(A319,EQUIPEMENTS!A:B,2,0),""))</f>
        <v/>
      </c>
      <c r="C319" s="87">
        <f>IF(A319="","",IFERROR(VLOOKUP(A319,EQUIPEMENTS!A:D,4,0),""))</f>
        <v/>
      </c>
      <c r="D319" s="87">
        <f>IF(A319="","",IFERROR(VLOOKUP(A319,EQUIPEMENTS!A:M,13,0),""))</f>
        <v/>
      </c>
      <c r="E319" s="87">
        <f>IF(A319="","",COUNTIFS(MAINT_PREV!B:B,A319,MAINT_PREV!G:G,"Planifiée",MAINT_PREV!E:E,"&lt;"&amp;TODAY(),MAINT_PREV!H:H,""))</f>
        <v/>
      </c>
      <c r="F319" s="87">
        <f>IF(A319="","",COUNTIFS(INTERVENTIONS!B:B,A319,INTERVENTIONS!L:L,"Ouverte"))</f>
        <v/>
      </c>
      <c r="G319" s="87">
        <f>IF(A319="","",COUNTIFS(COMPOSANTS!B:B,A319,COMPOSANTS!G:G,"Défectueux"))</f>
        <v/>
      </c>
      <c r="H319" s="87">
        <f>IF(A319="","",IFERROR(VLOOKUP(A319,EQUIPEMENTS!A:R,18,0),""))</f>
        <v/>
      </c>
      <c r="I319" s="87">
        <f>IF(A319="","",IF(AND(C319="Haute",D319="En panne"),"🔴 CRITIQUE",IF(OR(E319&gt;0,F319&gt;0,G319&gt;0),"🟠 ATTENTION","🟢 OK")))</f>
        <v/>
      </c>
      <c r="J319" s="87">
        <f>IF(A319="","",IFERROR(VLOOKUP(A319,EQUIPEMENTS!A:Q,17,0),""))</f>
        <v/>
      </c>
      <c r="K319" s="87" t="n"/>
    </row>
    <row r="320" ht="15" customHeight="1" s="59">
      <c r="A320" s="84">
        <f>IFERROR(EQUIPEMENTS!A320,"")</f>
        <v/>
      </c>
      <c r="B320" s="84">
        <f>IF(A320="","",IFERROR(VLOOKUP(A320,EQUIPEMENTS!A:B,2,0),""))</f>
        <v/>
      </c>
      <c r="C320" s="84">
        <f>IF(A320="","",IFERROR(VLOOKUP(A320,EQUIPEMENTS!A:D,4,0),""))</f>
        <v/>
      </c>
      <c r="D320" s="84">
        <f>IF(A320="","",IFERROR(VLOOKUP(A320,EQUIPEMENTS!A:M,13,0),""))</f>
        <v/>
      </c>
      <c r="E320" s="84">
        <f>IF(A320="","",COUNTIFS(MAINT_PREV!B:B,A320,MAINT_PREV!G:G,"Planifiée",MAINT_PREV!E:E,"&lt;"&amp;TODAY(),MAINT_PREV!H:H,""))</f>
        <v/>
      </c>
      <c r="F320" s="84">
        <f>IF(A320="","",COUNTIFS(INTERVENTIONS!B:B,A320,INTERVENTIONS!L:L,"Ouverte"))</f>
        <v/>
      </c>
      <c r="G320" s="84">
        <f>IF(A320="","",COUNTIFS(COMPOSANTS!B:B,A320,COMPOSANTS!G:G,"Défectueux"))</f>
        <v/>
      </c>
      <c r="H320" s="84">
        <f>IF(A320="","",IFERROR(VLOOKUP(A320,EQUIPEMENTS!A:R,18,0),""))</f>
        <v/>
      </c>
      <c r="I320" s="84">
        <f>IF(A320="","",IF(AND(C320="Haute",D320="En panne"),"🔴 CRITIQUE",IF(OR(E320&gt;0,F320&gt;0,G320&gt;0),"🟠 ATTENTION","🟢 OK")))</f>
        <v/>
      </c>
      <c r="J320" s="84">
        <f>IF(A320="","",IFERROR(VLOOKUP(A320,EQUIPEMENTS!A:Q,17,0),""))</f>
        <v/>
      </c>
      <c r="K320" s="84" t="n"/>
    </row>
    <row r="321" ht="15" customHeight="1" s="59">
      <c r="A321" s="87">
        <f>IFERROR(EQUIPEMENTS!A321,"")</f>
        <v/>
      </c>
      <c r="B321" s="87">
        <f>IF(A321="","",IFERROR(VLOOKUP(A321,EQUIPEMENTS!A:B,2,0),""))</f>
        <v/>
      </c>
      <c r="C321" s="87">
        <f>IF(A321="","",IFERROR(VLOOKUP(A321,EQUIPEMENTS!A:D,4,0),""))</f>
        <v/>
      </c>
      <c r="D321" s="87">
        <f>IF(A321="","",IFERROR(VLOOKUP(A321,EQUIPEMENTS!A:M,13,0),""))</f>
        <v/>
      </c>
      <c r="E321" s="87">
        <f>IF(A321="","",COUNTIFS(MAINT_PREV!B:B,A321,MAINT_PREV!G:G,"Planifiée",MAINT_PREV!E:E,"&lt;"&amp;TODAY(),MAINT_PREV!H:H,""))</f>
        <v/>
      </c>
      <c r="F321" s="87">
        <f>IF(A321="","",COUNTIFS(INTERVENTIONS!B:B,A321,INTERVENTIONS!L:L,"Ouverte"))</f>
        <v/>
      </c>
      <c r="G321" s="87">
        <f>IF(A321="","",COUNTIFS(COMPOSANTS!B:B,A321,COMPOSANTS!G:G,"Défectueux"))</f>
        <v/>
      </c>
      <c r="H321" s="87">
        <f>IF(A321="","",IFERROR(VLOOKUP(A321,EQUIPEMENTS!A:R,18,0),""))</f>
        <v/>
      </c>
      <c r="I321" s="87">
        <f>IF(A321="","",IF(AND(C321="Haute",D321="En panne"),"🔴 CRITIQUE",IF(OR(E321&gt;0,F321&gt;0,G321&gt;0),"🟠 ATTENTION","🟢 OK")))</f>
        <v/>
      </c>
      <c r="J321" s="87">
        <f>IF(A321="","",IFERROR(VLOOKUP(A321,EQUIPEMENTS!A:Q,17,0),""))</f>
        <v/>
      </c>
      <c r="K321" s="87" t="n"/>
    </row>
    <row r="322" ht="15" customHeight="1" s="59">
      <c r="A322" s="84">
        <f>IFERROR(EQUIPEMENTS!A322,"")</f>
        <v/>
      </c>
      <c r="B322" s="84">
        <f>IF(A322="","",IFERROR(VLOOKUP(A322,EQUIPEMENTS!A:B,2,0),""))</f>
        <v/>
      </c>
      <c r="C322" s="84">
        <f>IF(A322="","",IFERROR(VLOOKUP(A322,EQUIPEMENTS!A:D,4,0),""))</f>
        <v/>
      </c>
      <c r="D322" s="84">
        <f>IF(A322="","",IFERROR(VLOOKUP(A322,EQUIPEMENTS!A:M,13,0),""))</f>
        <v/>
      </c>
      <c r="E322" s="84">
        <f>IF(A322="","",COUNTIFS(MAINT_PREV!B:B,A322,MAINT_PREV!G:G,"Planifiée",MAINT_PREV!E:E,"&lt;"&amp;TODAY(),MAINT_PREV!H:H,""))</f>
        <v/>
      </c>
      <c r="F322" s="84">
        <f>IF(A322="","",COUNTIFS(INTERVENTIONS!B:B,A322,INTERVENTIONS!L:L,"Ouverte"))</f>
        <v/>
      </c>
      <c r="G322" s="84">
        <f>IF(A322="","",COUNTIFS(COMPOSANTS!B:B,A322,COMPOSANTS!G:G,"Défectueux"))</f>
        <v/>
      </c>
      <c r="H322" s="84">
        <f>IF(A322="","",IFERROR(VLOOKUP(A322,EQUIPEMENTS!A:R,18,0),""))</f>
        <v/>
      </c>
      <c r="I322" s="84">
        <f>IF(A322="","",IF(AND(C322="Haute",D322="En panne"),"🔴 CRITIQUE",IF(OR(E322&gt;0,F322&gt;0,G322&gt;0),"🟠 ATTENTION","🟢 OK")))</f>
        <v/>
      </c>
      <c r="J322" s="84">
        <f>IF(A322="","",IFERROR(VLOOKUP(A322,EQUIPEMENTS!A:Q,17,0),""))</f>
        <v/>
      </c>
      <c r="K322" s="84" t="n"/>
    </row>
    <row r="323" ht="15" customHeight="1" s="59">
      <c r="A323" s="87">
        <f>IFERROR(EQUIPEMENTS!A323,"")</f>
        <v/>
      </c>
      <c r="B323" s="87">
        <f>IF(A323="","",IFERROR(VLOOKUP(A323,EQUIPEMENTS!A:B,2,0),""))</f>
        <v/>
      </c>
      <c r="C323" s="87">
        <f>IF(A323="","",IFERROR(VLOOKUP(A323,EQUIPEMENTS!A:D,4,0),""))</f>
        <v/>
      </c>
      <c r="D323" s="87">
        <f>IF(A323="","",IFERROR(VLOOKUP(A323,EQUIPEMENTS!A:M,13,0),""))</f>
        <v/>
      </c>
      <c r="E323" s="87">
        <f>IF(A323="","",COUNTIFS(MAINT_PREV!B:B,A323,MAINT_PREV!G:G,"Planifiée",MAINT_PREV!E:E,"&lt;"&amp;TODAY(),MAINT_PREV!H:H,""))</f>
        <v/>
      </c>
      <c r="F323" s="87">
        <f>IF(A323="","",COUNTIFS(INTERVENTIONS!B:B,A323,INTERVENTIONS!L:L,"Ouverte"))</f>
        <v/>
      </c>
      <c r="G323" s="87">
        <f>IF(A323="","",COUNTIFS(COMPOSANTS!B:B,A323,COMPOSANTS!G:G,"Défectueux"))</f>
        <v/>
      </c>
      <c r="H323" s="87">
        <f>IF(A323="","",IFERROR(VLOOKUP(A323,EQUIPEMENTS!A:R,18,0),""))</f>
        <v/>
      </c>
      <c r="I323" s="87">
        <f>IF(A323="","",IF(AND(C323="Haute",D323="En panne"),"🔴 CRITIQUE",IF(OR(E323&gt;0,F323&gt;0,G323&gt;0),"🟠 ATTENTION","🟢 OK")))</f>
        <v/>
      </c>
      <c r="J323" s="87">
        <f>IF(A323="","",IFERROR(VLOOKUP(A323,EQUIPEMENTS!A:Q,17,0),""))</f>
        <v/>
      </c>
      <c r="K323" s="87" t="n"/>
    </row>
    <row r="324" ht="15" customHeight="1" s="59">
      <c r="A324" s="84">
        <f>IFERROR(EQUIPEMENTS!A324,"")</f>
        <v/>
      </c>
      <c r="B324" s="84">
        <f>IF(A324="","",IFERROR(VLOOKUP(A324,EQUIPEMENTS!A:B,2,0),""))</f>
        <v/>
      </c>
      <c r="C324" s="84">
        <f>IF(A324="","",IFERROR(VLOOKUP(A324,EQUIPEMENTS!A:D,4,0),""))</f>
        <v/>
      </c>
      <c r="D324" s="84">
        <f>IF(A324="","",IFERROR(VLOOKUP(A324,EQUIPEMENTS!A:M,13,0),""))</f>
        <v/>
      </c>
      <c r="E324" s="84">
        <f>IF(A324="","",COUNTIFS(MAINT_PREV!B:B,A324,MAINT_PREV!G:G,"Planifiée",MAINT_PREV!E:E,"&lt;"&amp;TODAY(),MAINT_PREV!H:H,""))</f>
        <v/>
      </c>
      <c r="F324" s="84">
        <f>IF(A324="","",COUNTIFS(INTERVENTIONS!B:B,A324,INTERVENTIONS!L:L,"Ouverte"))</f>
        <v/>
      </c>
      <c r="G324" s="84">
        <f>IF(A324="","",COUNTIFS(COMPOSANTS!B:B,A324,COMPOSANTS!G:G,"Défectueux"))</f>
        <v/>
      </c>
      <c r="H324" s="84">
        <f>IF(A324="","",IFERROR(VLOOKUP(A324,EQUIPEMENTS!A:R,18,0),""))</f>
        <v/>
      </c>
      <c r="I324" s="84">
        <f>IF(A324="","",IF(AND(C324="Haute",D324="En panne"),"🔴 CRITIQUE",IF(OR(E324&gt;0,F324&gt;0,G324&gt;0),"🟠 ATTENTION","🟢 OK")))</f>
        <v/>
      </c>
      <c r="J324" s="84">
        <f>IF(A324="","",IFERROR(VLOOKUP(A324,EQUIPEMENTS!A:Q,17,0),""))</f>
        <v/>
      </c>
      <c r="K324" s="84" t="n"/>
    </row>
    <row r="325" ht="15" customHeight="1" s="59">
      <c r="A325" s="87">
        <f>IFERROR(EQUIPEMENTS!A325,"")</f>
        <v/>
      </c>
      <c r="B325" s="87">
        <f>IF(A325="","",IFERROR(VLOOKUP(A325,EQUIPEMENTS!A:B,2,0),""))</f>
        <v/>
      </c>
      <c r="C325" s="87">
        <f>IF(A325="","",IFERROR(VLOOKUP(A325,EQUIPEMENTS!A:D,4,0),""))</f>
        <v/>
      </c>
      <c r="D325" s="87">
        <f>IF(A325="","",IFERROR(VLOOKUP(A325,EQUIPEMENTS!A:M,13,0),""))</f>
        <v/>
      </c>
      <c r="E325" s="87">
        <f>IF(A325="","",COUNTIFS(MAINT_PREV!B:B,A325,MAINT_PREV!G:G,"Planifiée",MAINT_PREV!E:E,"&lt;"&amp;TODAY(),MAINT_PREV!H:H,""))</f>
        <v/>
      </c>
      <c r="F325" s="87">
        <f>IF(A325="","",COUNTIFS(INTERVENTIONS!B:B,A325,INTERVENTIONS!L:L,"Ouverte"))</f>
        <v/>
      </c>
      <c r="G325" s="87">
        <f>IF(A325="","",COUNTIFS(COMPOSANTS!B:B,A325,COMPOSANTS!G:G,"Défectueux"))</f>
        <v/>
      </c>
      <c r="H325" s="87">
        <f>IF(A325="","",IFERROR(VLOOKUP(A325,EQUIPEMENTS!A:R,18,0),""))</f>
        <v/>
      </c>
      <c r="I325" s="87">
        <f>IF(A325="","",IF(AND(C325="Haute",D325="En panne"),"🔴 CRITIQUE",IF(OR(E325&gt;0,F325&gt;0,G325&gt;0),"🟠 ATTENTION","🟢 OK")))</f>
        <v/>
      </c>
      <c r="J325" s="87">
        <f>IF(A325="","",IFERROR(VLOOKUP(A325,EQUIPEMENTS!A:Q,17,0),""))</f>
        <v/>
      </c>
      <c r="K325" s="87" t="n"/>
    </row>
    <row r="326" ht="15" customHeight="1" s="59">
      <c r="A326" s="84">
        <f>IFERROR(EQUIPEMENTS!A326,"")</f>
        <v/>
      </c>
      <c r="B326" s="84">
        <f>IF(A326="","",IFERROR(VLOOKUP(A326,EQUIPEMENTS!A:B,2,0),""))</f>
        <v/>
      </c>
      <c r="C326" s="84">
        <f>IF(A326="","",IFERROR(VLOOKUP(A326,EQUIPEMENTS!A:D,4,0),""))</f>
        <v/>
      </c>
      <c r="D326" s="84">
        <f>IF(A326="","",IFERROR(VLOOKUP(A326,EQUIPEMENTS!A:M,13,0),""))</f>
        <v/>
      </c>
      <c r="E326" s="84">
        <f>IF(A326="","",COUNTIFS(MAINT_PREV!B:B,A326,MAINT_PREV!G:G,"Planifiée",MAINT_PREV!E:E,"&lt;"&amp;TODAY(),MAINT_PREV!H:H,""))</f>
        <v/>
      </c>
      <c r="F326" s="84">
        <f>IF(A326="","",COUNTIFS(INTERVENTIONS!B:B,A326,INTERVENTIONS!L:L,"Ouverte"))</f>
        <v/>
      </c>
      <c r="G326" s="84">
        <f>IF(A326="","",COUNTIFS(COMPOSANTS!B:B,A326,COMPOSANTS!G:G,"Défectueux"))</f>
        <v/>
      </c>
      <c r="H326" s="84">
        <f>IF(A326="","",IFERROR(VLOOKUP(A326,EQUIPEMENTS!A:R,18,0),""))</f>
        <v/>
      </c>
      <c r="I326" s="84">
        <f>IF(A326="","",IF(AND(C326="Haute",D326="En panne"),"🔴 CRITIQUE",IF(OR(E326&gt;0,F326&gt;0,G326&gt;0),"🟠 ATTENTION","🟢 OK")))</f>
        <v/>
      </c>
      <c r="J326" s="84">
        <f>IF(A326="","",IFERROR(VLOOKUP(A326,EQUIPEMENTS!A:Q,17,0),""))</f>
        <v/>
      </c>
      <c r="K326" s="84" t="n"/>
    </row>
    <row r="327" ht="15" customHeight="1" s="59">
      <c r="A327" s="87">
        <f>IFERROR(EQUIPEMENTS!A327,"")</f>
        <v/>
      </c>
      <c r="B327" s="87">
        <f>IF(A327="","",IFERROR(VLOOKUP(A327,EQUIPEMENTS!A:B,2,0),""))</f>
        <v/>
      </c>
      <c r="C327" s="87">
        <f>IF(A327="","",IFERROR(VLOOKUP(A327,EQUIPEMENTS!A:D,4,0),""))</f>
        <v/>
      </c>
      <c r="D327" s="87">
        <f>IF(A327="","",IFERROR(VLOOKUP(A327,EQUIPEMENTS!A:M,13,0),""))</f>
        <v/>
      </c>
      <c r="E327" s="87">
        <f>IF(A327="","",COUNTIFS(MAINT_PREV!B:B,A327,MAINT_PREV!G:G,"Planifiée",MAINT_PREV!E:E,"&lt;"&amp;TODAY(),MAINT_PREV!H:H,""))</f>
        <v/>
      </c>
      <c r="F327" s="87">
        <f>IF(A327="","",COUNTIFS(INTERVENTIONS!B:B,A327,INTERVENTIONS!L:L,"Ouverte"))</f>
        <v/>
      </c>
      <c r="G327" s="87">
        <f>IF(A327="","",COUNTIFS(COMPOSANTS!B:B,A327,COMPOSANTS!G:G,"Défectueux"))</f>
        <v/>
      </c>
      <c r="H327" s="87">
        <f>IF(A327="","",IFERROR(VLOOKUP(A327,EQUIPEMENTS!A:R,18,0),""))</f>
        <v/>
      </c>
      <c r="I327" s="87">
        <f>IF(A327="","",IF(AND(C327="Haute",D327="En panne"),"🔴 CRITIQUE",IF(OR(E327&gt;0,F327&gt;0,G327&gt;0),"🟠 ATTENTION","🟢 OK")))</f>
        <v/>
      </c>
      <c r="J327" s="87">
        <f>IF(A327="","",IFERROR(VLOOKUP(A327,EQUIPEMENTS!A:Q,17,0),""))</f>
        <v/>
      </c>
      <c r="K327" s="87" t="n"/>
    </row>
    <row r="328" ht="15" customHeight="1" s="59">
      <c r="A328" s="84">
        <f>IFERROR(EQUIPEMENTS!A328,"")</f>
        <v/>
      </c>
      <c r="B328" s="84">
        <f>IF(A328="","",IFERROR(VLOOKUP(A328,EQUIPEMENTS!A:B,2,0),""))</f>
        <v/>
      </c>
      <c r="C328" s="84">
        <f>IF(A328="","",IFERROR(VLOOKUP(A328,EQUIPEMENTS!A:D,4,0),""))</f>
        <v/>
      </c>
      <c r="D328" s="84">
        <f>IF(A328="","",IFERROR(VLOOKUP(A328,EQUIPEMENTS!A:M,13,0),""))</f>
        <v/>
      </c>
      <c r="E328" s="84">
        <f>IF(A328="","",COUNTIFS(MAINT_PREV!B:B,A328,MAINT_PREV!G:G,"Planifiée",MAINT_PREV!E:E,"&lt;"&amp;TODAY(),MAINT_PREV!H:H,""))</f>
        <v/>
      </c>
      <c r="F328" s="84">
        <f>IF(A328="","",COUNTIFS(INTERVENTIONS!B:B,A328,INTERVENTIONS!L:L,"Ouverte"))</f>
        <v/>
      </c>
      <c r="G328" s="84">
        <f>IF(A328="","",COUNTIFS(COMPOSANTS!B:B,A328,COMPOSANTS!G:G,"Défectueux"))</f>
        <v/>
      </c>
      <c r="H328" s="84">
        <f>IF(A328="","",IFERROR(VLOOKUP(A328,EQUIPEMENTS!A:R,18,0),""))</f>
        <v/>
      </c>
      <c r="I328" s="84">
        <f>IF(A328="","",IF(AND(C328="Haute",D328="En panne"),"🔴 CRITIQUE",IF(OR(E328&gt;0,F328&gt;0,G328&gt;0),"🟠 ATTENTION","🟢 OK")))</f>
        <v/>
      </c>
      <c r="J328" s="84">
        <f>IF(A328="","",IFERROR(VLOOKUP(A328,EQUIPEMENTS!A:Q,17,0),""))</f>
        <v/>
      </c>
      <c r="K328" s="84" t="n"/>
    </row>
    <row r="329" ht="15" customHeight="1" s="59">
      <c r="A329" s="87">
        <f>IFERROR(EQUIPEMENTS!A329,"")</f>
        <v/>
      </c>
      <c r="B329" s="87">
        <f>IF(A329="","",IFERROR(VLOOKUP(A329,EQUIPEMENTS!A:B,2,0),""))</f>
        <v/>
      </c>
      <c r="C329" s="87">
        <f>IF(A329="","",IFERROR(VLOOKUP(A329,EQUIPEMENTS!A:D,4,0),""))</f>
        <v/>
      </c>
      <c r="D329" s="87">
        <f>IF(A329="","",IFERROR(VLOOKUP(A329,EQUIPEMENTS!A:M,13,0),""))</f>
        <v/>
      </c>
      <c r="E329" s="87">
        <f>IF(A329="","",COUNTIFS(MAINT_PREV!B:B,A329,MAINT_PREV!G:G,"Planifiée",MAINT_PREV!E:E,"&lt;"&amp;TODAY(),MAINT_PREV!H:H,""))</f>
        <v/>
      </c>
      <c r="F329" s="87">
        <f>IF(A329="","",COUNTIFS(INTERVENTIONS!B:B,A329,INTERVENTIONS!L:L,"Ouverte"))</f>
        <v/>
      </c>
      <c r="G329" s="87">
        <f>IF(A329="","",COUNTIFS(COMPOSANTS!B:B,A329,COMPOSANTS!G:G,"Défectueux"))</f>
        <v/>
      </c>
      <c r="H329" s="87">
        <f>IF(A329="","",IFERROR(VLOOKUP(A329,EQUIPEMENTS!A:R,18,0),""))</f>
        <v/>
      </c>
      <c r="I329" s="87">
        <f>IF(A329="","",IF(AND(C329="Haute",D329="En panne"),"🔴 CRITIQUE",IF(OR(E329&gt;0,F329&gt;0,G329&gt;0),"🟠 ATTENTION","🟢 OK")))</f>
        <v/>
      </c>
      <c r="J329" s="87">
        <f>IF(A329="","",IFERROR(VLOOKUP(A329,EQUIPEMENTS!A:Q,17,0),""))</f>
        <v/>
      </c>
      <c r="K329" s="87" t="n"/>
    </row>
    <row r="330" ht="15" customHeight="1" s="59">
      <c r="A330" s="84">
        <f>IFERROR(EQUIPEMENTS!A330,"")</f>
        <v/>
      </c>
      <c r="B330" s="84">
        <f>IF(A330="","",IFERROR(VLOOKUP(A330,EQUIPEMENTS!A:B,2,0),""))</f>
        <v/>
      </c>
      <c r="C330" s="84">
        <f>IF(A330="","",IFERROR(VLOOKUP(A330,EQUIPEMENTS!A:D,4,0),""))</f>
        <v/>
      </c>
      <c r="D330" s="84">
        <f>IF(A330="","",IFERROR(VLOOKUP(A330,EQUIPEMENTS!A:M,13,0),""))</f>
        <v/>
      </c>
      <c r="E330" s="84">
        <f>IF(A330="","",COUNTIFS(MAINT_PREV!B:B,A330,MAINT_PREV!G:G,"Planifiée",MAINT_PREV!E:E,"&lt;"&amp;TODAY(),MAINT_PREV!H:H,""))</f>
        <v/>
      </c>
      <c r="F330" s="84">
        <f>IF(A330="","",COUNTIFS(INTERVENTIONS!B:B,A330,INTERVENTIONS!L:L,"Ouverte"))</f>
        <v/>
      </c>
      <c r="G330" s="84">
        <f>IF(A330="","",COUNTIFS(COMPOSANTS!B:B,A330,COMPOSANTS!G:G,"Défectueux"))</f>
        <v/>
      </c>
      <c r="H330" s="84">
        <f>IF(A330="","",IFERROR(VLOOKUP(A330,EQUIPEMENTS!A:R,18,0),""))</f>
        <v/>
      </c>
      <c r="I330" s="84">
        <f>IF(A330="","",IF(AND(C330="Haute",D330="En panne"),"🔴 CRITIQUE",IF(OR(E330&gt;0,F330&gt;0,G330&gt;0),"🟠 ATTENTION","🟢 OK")))</f>
        <v/>
      </c>
      <c r="J330" s="84">
        <f>IF(A330="","",IFERROR(VLOOKUP(A330,EQUIPEMENTS!A:Q,17,0),""))</f>
        <v/>
      </c>
      <c r="K330" s="84" t="n"/>
    </row>
    <row r="331" ht="15" customHeight="1" s="59">
      <c r="A331" s="87">
        <f>IFERROR(EQUIPEMENTS!A331,"")</f>
        <v/>
      </c>
      <c r="B331" s="87">
        <f>IF(A331="","",IFERROR(VLOOKUP(A331,EQUIPEMENTS!A:B,2,0),""))</f>
        <v/>
      </c>
      <c r="C331" s="87">
        <f>IF(A331="","",IFERROR(VLOOKUP(A331,EQUIPEMENTS!A:D,4,0),""))</f>
        <v/>
      </c>
      <c r="D331" s="87">
        <f>IF(A331="","",IFERROR(VLOOKUP(A331,EQUIPEMENTS!A:M,13,0),""))</f>
        <v/>
      </c>
      <c r="E331" s="87">
        <f>IF(A331="","",COUNTIFS(MAINT_PREV!B:B,A331,MAINT_PREV!G:G,"Planifiée",MAINT_PREV!E:E,"&lt;"&amp;TODAY(),MAINT_PREV!H:H,""))</f>
        <v/>
      </c>
      <c r="F331" s="87">
        <f>IF(A331="","",COUNTIFS(INTERVENTIONS!B:B,A331,INTERVENTIONS!L:L,"Ouverte"))</f>
        <v/>
      </c>
      <c r="G331" s="87">
        <f>IF(A331="","",COUNTIFS(COMPOSANTS!B:B,A331,COMPOSANTS!G:G,"Défectueux"))</f>
        <v/>
      </c>
      <c r="H331" s="87">
        <f>IF(A331="","",IFERROR(VLOOKUP(A331,EQUIPEMENTS!A:R,18,0),""))</f>
        <v/>
      </c>
      <c r="I331" s="87">
        <f>IF(A331="","",IF(AND(C331="Haute",D331="En panne"),"🔴 CRITIQUE",IF(OR(E331&gt;0,F331&gt;0,G331&gt;0),"🟠 ATTENTION","🟢 OK")))</f>
        <v/>
      </c>
      <c r="J331" s="87">
        <f>IF(A331="","",IFERROR(VLOOKUP(A331,EQUIPEMENTS!A:Q,17,0),""))</f>
        <v/>
      </c>
      <c r="K331" s="87" t="n"/>
    </row>
    <row r="332" ht="15" customHeight="1" s="59">
      <c r="A332" s="84">
        <f>IFERROR(EQUIPEMENTS!A332,"")</f>
        <v/>
      </c>
      <c r="B332" s="84">
        <f>IF(A332="","",IFERROR(VLOOKUP(A332,EQUIPEMENTS!A:B,2,0),""))</f>
        <v/>
      </c>
      <c r="C332" s="84">
        <f>IF(A332="","",IFERROR(VLOOKUP(A332,EQUIPEMENTS!A:D,4,0),""))</f>
        <v/>
      </c>
      <c r="D332" s="84">
        <f>IF(A332="","",IFERROR(VLOOKUP(A332,EQUIPEMENTS!A:M,13,0),""))</f>
        <v/>
      </c>
      <c r="E332" s="84">
        <f>IF(A332="","",COUNTIFS(MAINT_PREV!B:B,A332,MAINT_PREV!G:G,"Planifiée",MAINT_PREV!E:E,"&lt;"&amp;TODAY(),MAINT_PREV!H:H,""))</f>
        <v/>
      </c>
      <c r="F332" s="84">
        <f>IF(A332="","",COUNTIFS(INTERVENTIONS!B:B,A332,INTERVENTIONS!L:L,"Ouverte"))</f>
        <v/>
      </c>
      <c r="G332" s="84">
        <f>IF(A332="","",COUNTIFS(COMPOSANTS!B:B,A332,COMPOSANTS!G:G,"Défectueux"))</f>
        <v/>
      </c>
      <c r="H332" s="84">
        <f>IF(A332="","",IFERROR(VLOOKUP(A332,EQUIPEMENTS!A:R,18,0),""))</f>
        <v/>
      </c>
      <c r="I332" s="84">
        <f>IF(A332="","",IF(AND(C332="Haute",D332="En panne"),"🔴 CRITIQUE",IF(OR(E332&gt;0,F332&gt;0,G332&gt;0),"🟠 ATTENTION","🟢 OK")))</f>
        <v/>
      </c>
      <c r="J332" s="84">
        <f>IF(A332="","",IFERROR(VLOOKUP(A332,EQUIPEMENTS!A:Q,17,0),""))</f>
        <v/>
      </c>
      <c r="K332" s="84" t="n"/>
    </row>
    <row r="333" ht="15" customHeight="1" s="59">
      <c r="A333" s="87">
        <f>IFERROR(EQUIPEMENTS!A333,"")</f>
        <v/>
      </c>
      <c r="B333" s="87">
        <f>IF(A333="","",IFERROR(VLOOKUP(A333,EQUIPEMENTS!A:B,2,0),""))</f>
        <v/>
      </c>
      <c r="C333" s="87">
        <f>IF(A333="","",IFERROR(VLOOKUP(A333,EQUIPEMENTS!A:D,4,0),""))</f>
        <v/>
      </c>
      <c r="D333" s="87">
        <f>IF(A333="","",IFERROR(VLOOKUP(A333,EQUIPEMENTS!A:M,13,0),""))</f>
        <v/>
      </c>
      <c r="E333" s="87">
        <f>IF(A333="","",COUNTIFS(MAINT_PREV!B:B,A333,MAINT_PREV!G:G,"Planifiée",MAINT_PREV!E:E,"&lt;"&amp;TODAY(),MAINT_PREV!H:H,""))</f>
        <v/>
      </c>
      <c r="F333" s="87">
        <f>IF(A333="","",COUNTIFS(INTERVENTIONS!B:B,A333,INTERVENTIONS!L:L,"Ouverte"))</f>
        <v/>
      </c>
      <c r="G333" s="87">
        <f>IF(A333="","",COUNTIFS(COMPOSANTS!B:B,A333,COMPOSANTS!G:G,"Défectueux"))</f>
        <v/>
      </c>
      <c r="H333" s="87">
        <f>IF(A333="","",IFERROR(VLOOKUP(A333,EQUIPEMENTS!A:R,18,0),""))</f>
        <v/>
      </c>
      <c r="I333" s="87">
        <f>IF(A333="","",IF(AND(C333="Haute",D333="En panne"),"🔴 CRITIQUE",IF(OR(E333&gt;0,F333&gt;0,G333&gt;0),"🟠 ATTENTION","🟢 OK")))</f>
        <v/>
      </c>
      <c r="J333" s="87">
        <f>IF(A333="","",IFERROR(VLOOKUP(A333,EQUIPEMENTS!A:Q,17,0),""))</f>
        <v/>
      </c>
      <c r="K333" s="87" t="n"/>
    </row>
    <row r="334" ht="15" customHeight="1" s="59">
      <c r="A334" s="84">
        <f>IFERROR(EQUIPEMENTS!A334,"")</f>
        <v/>
      </c>
      <c r="B334" s="84">
        <f>IF(A334="","",IFERROR(VLOOKUP(A334,EQUIPEMENTS!A:B,2,0),""))</f>
        <v/>
      </c>
      <c r="C334" s="84">
        <f>IF(A334="","",IFERROR(VLOOKUP(A334,EQUIPEMENTS!A:D,4,0),""))</f>
        <v/>
      </c>
      <c r="D334" s="84">
        <f>IF(A334="","",IFERROR(VLOOKUP(A334,EQUIPEMENTS!A:M,13,0),""))</f>
        <v/>
      </c>
      <c r="E334" s="84">
        <f>IF(A334="","",COUNTIFS(MAINT_PREV!B:B,A334,MAINT_PREV!G:G,"Planifiée",MAINT_PREV!E:E,"&lt;"&amp;TODAY(),MAINT_PREV!H:H,""))</f>
        <v/>
      </c>
      <c r="F334" s="84">
        <f>IF(A334="","",COUNTIFS(INTERVENTIONS!B:B,A334,INTERVENTIONS!L:L,"Ouverte"))</f>
        <v/>
      </c>
      <c r="G334" s="84">
        <f>IF(A334="","",COUNTIFS(COMPOSANTS!B:B,A334,COMPOSANTS!G:G,"Défectueux"))</f>
        <v/>
      </c>
      <c r="H334" s="84">
        <f>IF(A334="","",IFERROR(VLOOKUP(A334,EQUIPEMENTS!A:R,18,0),""))</f>
        <v/>
      </c>
      <c r="I334" s="84">
        <f>IF(A334="","",IF(AND(C334="Haute",D334="En panne"),"🔴 CRITIQUE",IF(OR(E334&gt;0,F334&gt;0,G334&gt;0),"🟠 ATTENTION","🟢 OK")))</f>
        <v/>
      </c>
      <c r="J334" s="84">
        <f>IF(A334="","",IFERROR(VLOOKUP(A334,EQUIPEMENTS!A:Q,17,0),""))</f>
        <v/>
      </c>
      <c r="K334" s="84" t="n"/>
    </row>
    <row r="335" ht="15" customHeight="1" s="59">
      <c r="A335" s="87">
        <f>IFERROR(EQUIPEMENTS!A335,"")</f>
        <v/>
      </c>
      <c r="B335" s="87">
        <f>IF(A335="","",IFERROR(VLOOKUP(A335,EQUIPEMENTS!A:B,2,0),""))</f>
        <v/>
      </c>
      <c r="C335" s="87">
        <f>IF(A335="","",IFERROR(VLOOKUP(A335,EQUIPEMENTS!A:D,4,0),""))</f>
        <v/>
      </c>
      <c r="D335" s="87">
        <f>IF(A335="","",IFERROR(VLOOKUP(A335,EQUIPEMENTS!A:M,13,0),""))</f>
        <v/>
      </c>
      <c r="E335" s="87">
        <f>IF(A335="","",COUNTIFS(MAINT_PREV!B:B,A335,MAINT_PREV!G:G,"Planifiée",MAINT_PREV!E:E,"&lt;"&amp;TODAY(),MAINT_PREV!H:H,""))</f>
        <v/>
      </c>
      <c r="F335" s="87">
        <f>IF(A335="","",COUNTIFS(INTERVENTIONS!B:B,A335,INTERVENTIONS!L:L,"Ouverte"))</f>
        <v/>
      </c>
      <c r="G335" s="87">
        <f>IF(A335="","",COUNTIFS(COMPOSANTS!B:B,A335,COMPOSANTS!G:G,"Défectueux"))</f>
        <v/>
      </c>
      <c r="H335" s="87">
        <f>IF(A335="","",IFERROR(VLOOKUP(A335,EQUIPEMENTS!A:R,18,0),""))</f>
        <v/>
      </c>
      <c r="I335" s="87">
        <f>IF(A335="","",IF(AND(C335="Haute",D335="En panne"),"🔴 CRITIQUE",IF(OR(E335&gt;0,F335&gt;0,G335&gt;0),"🟠 ATTENTION","🟢 OK")))</f>
        <v/>
      </c>
      <c r="J335" s="87">
        <f>IF(A335="","",IFERROR(VLOOKUP(A335,EQUIPEMENTS!A:Q,17,0),""))</f>
        <v/>
      </c>
      <c r="K335" s="87" t="n"/>
    </row>
    <row r="336" ht="15" customHeight="1" s="59">
      <c r="A336" s="84">
        <f>IFERROR(EQUIPEMENTS!A336,"")</f>
        <v/>
      </c>
      <c r="B336" s="84">
        <f>IF(A336="","",IFERROR(VLOOKUP(A336,EQUIPEMENTS!A:B,2,0),""))</f>
        <v/>
      </c>
      <c r="C336" s="84">
        <f>IF(A336="","",IFERROR(VLOOKUP(A336,EQUIPEMENTS!A:D,4,0),""))</f>
        <v/>
      </c>
      <c r="D336" s="84">
        <f>IF(A336="","",IFERROR(VLOOKUP(A336,EQUIPEMENTS!A:M,13,0),""))</f>
        <v/>
      </c>
      <c r="E336" s="84">
        <f>IF(A336="","",COUNTIFS(MAINT_PREV!B:B,A336,MAINT_PREV!G:G,"Planifiée",MAINT_PREV!E:E,"&lt;"&amp;TODAY(),MAINT_PREV!H:H,""))</f>
        <v/>
      </c>
      <c r="F336" s="84">
        <f>IF(A336="","",COUNTIFS(INTERVENTIONS!B:B,A336,INTERVENTIONS!L:L,"Ouverte"))</f>
        <v/>
      </c>
      <c r="G336" s="84">
        <f>IF(A336="","",COUNTIFS(COMPOSANTS!B:B,A336,COMPOSANTS!G:G,"Défectueux"))</f>
        <v/>
      </c>
      <c r="H336" s="84">
        <f>IF(A336="","",IFERROR(VLOOKUP(A336,EQUIPEMENTS!A:R,18,0),""))</f>
        <v/>
      </c>
      <c r="I336" s="84">
        <f>IF(A336="","",IF(AND(C336="Haute",D336="En panne"),"🔴 CRITIQUE",IF(OR(E336&gt;0,F336&gt;0,G336&gt;0),"🟠 ATTENTION","🟢 OK")))</f>
        <v/>
      </c>
      <c r="J336" s="84">
        <f>IF(A336="","",IFERROR(VLOOKUP(A336,EQUIPEMENTS!A:Q,17,0),""))</f>
        <v/>
      </c>
      <c r="K336" s="84" t="n"/>
    </row>
    <row r="337" ht="15" customHeight="1" s="59">
      <c r="A337" s="87">
        <f>IFERROR(EQUIPEMENTS!A337,"")</f>
        <v/>
      </c>
      <c r="B337" s="87">
        <f>IF(A337="","",IFERROR(VLOOKUP(A337,EQUIPEMENTS!A:B,2,0),""))</f>
        <v/>
      </c>
      <c r="C337" s="87">
        <f>IF(A337="","",IFERROR(VLOOKUP(A337,EQUIPEMENTS!A:D,4,0),""))</f>
        <v/>
      </c>
      <c r="D337" s="87">
        <f>IF(A337="","",IFERROR(VLOOKUP(A337,EQUIPEMENTS!A:M,13,0),""))</f>
        <v/>
      </c>
      <c r="E337" s="87">
        <f>IF(A337="","",COUNTIFS(MAINT_PREV!B:B,A337,MAINT_PREV!G:G,"Planifiée",MAINT_PREV!E:E,"&lt;"&amp;TODAY(),MAINT_PREV!H:H,""))</f>
        <v/>
      </c>
      <c r="F337" s="87">
        <f>IF(A337="","",COUNTIFS(INTERVENTIONS!B:B,A337,INTERVENTIONS!L:L,"Ouverte"))</f>
        <v/>
      </c>
      <c r="G337" s="87">
        <f>IF(A337="","",COUNTIFS(COMPOSANTS!B:B,A337,COMPOSANTS!G:G,"Défectueux"))</f>
        <v/>
      </c>
      <c r="H337" s="87">
        <f>IF(A337="","",IFERROR(VLOOKUP(A337,EQUIPEMENTS!A:R,18,0),""))</f>
        <v/>
      </c>
      <c r="I337" s="87">
        <f>IF(A337="","",IF(AND(C337="Haute",D337="En panne"),"🔴 CRITIQUE",IF(OR(E337&gt;0,F337&gt;0,G337&gt;0),"🟠 ATTENTION","🟢 OK")))</f>
        <v/>
      </c>
      <c r="J337" s="87">
        <f>IF(A337="","",IFERROR(VLOOKUP(A337,EQUIPEMENTS!A:Q,17,0),""))</f>
        <v/>
      </c>
      <c r="K337" s="87" t="n"/>
    </row>
    <row r="338" ht="15" customHeight="1" s="59">
      <c r="A338" s="84">
        <f>IFERROR(EQUIPEMENTS!A338,"")</f>
        <v/>
      </c>
      <c r="B338" s="84">
        <f>IF(A338="","",IFERROR(VLOOKUP(A338,EQUIPEMENTS!A:B,2,0),""))</f>
        <v/>
      </c>
      <c r="C338" s="84">
        <f>IF(A338="","",IFERROR(VLOOKUP(A338,EQUIPEMENTS!A:D,4,0),""))</f>
        <v/>
      </c>
      <c r="D338" s="84">
        <f>IF(A338="","",IFERROR(VLOOKUP(A338,EQUIPEMENTS!A:M,13,0),""))</f>
        <v/>
      </c>
      <c r="E338" s="84">
        <f>IF(A338="","",COUNTIFS(MAINT_PREV!B:B,A338,MAINT_PREV!G:G,"Planifiée",MAINT_PREV!E:E,"&lt;"&amp;TODAY(),MAINT_PREV!H:H,""))</f>
        <v/>
      </c>
      <c r="F338" s="84">
        <f>IF(A338="","",COUNTIFS(INTERVENTIONS!B:B,A338,INTERVENTIONS!L:L,"Ouverte"))</f>
        <v/>
      </c>
      <c r="G338" s="84">
        <f>IF(A338="","",COUNTIFS(COMPOSANTS!B:B,A338,COMPOSANTS!G:G,"Défectueux"))</f>
        <v/>
      </c>
      <c r="H338" s="84">
        <f>IF(A338="","",IFERROR(VLOOKUP(A338,EQUIPEMENTS!A:R,18,0),""))</f>
        <v/>
      </c>
      <c r="I338" s="84">
        <f>IF(A338="","",IF(AND(C338="Haute",D338="En panne"),"🔴 CRITIQUE",IF(OR(E338&gt;0,F338&gt;0,G338&gt;0),"🟠 ATTENTION","🟢 OK")))</f>
        <v/>
      </c>
      <c r="J338" s="84">
        <f>IF(A338="","",IFERROR(VLOOKUP(A338,EQUIPEMENTS!A:Q,17,0),""))</f>
        <v/>
      </c>
      <c r="K338" s="84" t="n"/>
    </row>
    <row r="339" ht="15" customHeight="1" s="59">
      <c r="A339" s="87">
        <f>IFERROR(EQUIPEMENTS!A339,"")</f>
        <v/>
      </c>
      <c r="B339" s="87">
        <f>IF(A339="","",IFERROR(VLOOKUP(A339,EQUIPEMENTS!A:B,2,0),""))</f>
        <v/>
      </c>
      <c r="C339" s="87">
        <f>IF(A339="","",IFERROR(VLOOKUP(A339,EQUIPEMENTS!A:D,4,0),""))</f>
        <v/>
      </c>
      <c r="D339" s="87">
        <f>IF(A339="","",IFERROR(VLOOKUP(A339,EQUIPEMENTS!A:M,13,0),""))</f>
        <v/>
      </c>
      <c r="E339" s="87">
        <f>IF(A339="","",COUNTIFS(MAINT_PREV!B:B,A339,MAINT_PREV!G:G,"Planifiée",MAINT_PREV!E:E,"&lt;"&amp;TODAY(),MAINT_PREV!H:H,""))</f>
        <v/>
      </c>
      <c r="F339" s="87">
        <f>IF(A339="","",COUNTIFS(INTERVENTIONS!B:B,A339,INTERVENTIONS!L:L,"Ouverte"))</f>
        <v/>
      </c>
      <c r="G339" s="87">
        <f>IF(A339="","",COUNTIFS(COMPOSANTS!B:B,A339,COMPOSANTS!G:G,"Défectueux"))</f>
        <v/>
      </c>
      <c r="H339" s="87">
        <f>IF(A339="","",IFERROR(VLOOKUP(A339,EQUIPEMENTS!A:R,18,0),""))</f>
        <v/>
      </c>
      <c r="I339" s="87">
        <f>IF(A339="","",IF(AND(C339="Haute",D339="En panne"),"🔴 CRITIQUE",IF(OR(E339&gt;0,F339&gt;0,G339&gt;0),"🟠 ATTENTION","🟢 OK")))</f>
        <v/>
      </c>
      <c r="J339" s="87">
        <f>IF(A339="","",IFERROR(VLOOKUP(A339,EQUIPEMENTS!A:Q,17,0),""))</f>
        <v/>
      </c>
      <c r="K339" s="87" t="n"/>
    </row>
    <row r="340" ht="15" customHeight="1" s="59">
      <c r="A340" s="84">
        <f>IFERROR(EQUIPEMENTS!A340,"")</f>
        <v/>
      </c>
      <c r="B340" s="84">
        <f>IF(A340="","",IFERROR(VLOOKUP(A340,EQUIPEMENTS!A:B,2,0),""))</f>
        <v/>
      </c>
      <c r="C340" s="84">
        <f>IF(A340="","",IFERROR(VLOOKUP(A340,EQUIPEMENTS!A:D,4,0),""))</f>
        <v/>
      </c>
      <c r="D340" s="84">
        <f>IF(A340="","",IFERROR(VLOOKUP(A340,EQUIPEMENTS!A:M,13,0),""))</f>
        <v/>
      </c>
      <c r="E340" s="84">
        <f>IF(A340="","",COUNTIFS(MAINT_PREV!B:B,A340,MAINT_PREV!G:G,"Planifiée",MAINT_PREV!E:E,"&lt;"&amp;TODAY(),MAINT_PREV!H:H,""))</f>
        <v/>
      </c>
      <c r="F340" s="84">
        <f>IF(A340="","",COUNTIFS(INTERVENTIONS!B:B,A340,INTERVENTIONS!L:L,"Ouverte"))</f>
        <v/>
      </c>
      <c r="G340" s="84">
        <f>IF(A340="","",COUNTIFS(COMPOSANTS!B:B,A340,COMPOSANTS!G:G,"Défectueux"))</f>
        <v/>
      </c>
      <c r="H340" s="84">
        <f>IF(A340="","",IFERROR(VLOOKUP(A340,EQUIPEMENTS!A:R,18,0),""))</f>
        <v/>
      </c>
      <c r="I340" s="84">
        <f>IF(A340="","",IF(AND(C340="Haute",D340="En panne"),"🔴 CRITIQUE",IF(OR(E340&gt;0,F340&gt;0,G340&gt;0),"🟠 ATTENTION","🟢 OK")))</f>
        <v/>
      </c>
      <c r="J340" s="84">
        <f>IF(A340="","",IFERROR(VLOOKUP(A340,EQUIPEMENTS!A:Q,17,0),""))</f>
        <v/>
      </c>
      <c r="K340" s="84" t="n"/>
    </row>
    <row r="341" ht="15" customHeight="1" s="59">
      <c r="A341" s="87">
        <f>IFERROR(EQUIPEMENTS!A341,"")</f>
        <v/>
      </c>
      <c r="B341" s="87">
        <f>IF(A341="","",IFERROR(VLOOKUP(A341,EQUIPEMENTS!A:B,2,0),""))</f>
        <v/>
      </c>
      <c r="C341" s="87">
        <f>IF(A341="","",IFERROR(VLOOKUP(A341,EQUIPEMENTS!A:D,4,0),""))</f>
        <v/>
      </c>
      <c r="D341" s="87">
        <f>IF(A341="","",IFERROR(VLOOKUP(A341,EQUIPEMENTS!A:M,13,0),""))</f>
        <v/>
      </c>
      <c r="E341" s="87">
        <f>IF(A341="","",COUNTIFS(MAINT_PREV!B:B,A341,MAINT_PREV!G:G,"Planifiée",MAINT_PREV!E:E,"&lt;"&amp;TODAY(),MAINT_PREV!H:H,""))</f>
        <v/>
      </c>
      <c r="F341" s="87">
        <f>IF(A341="","",COUNTIFS(INTERVENTIONS!B:B,A341,INTERVENTIONS!L:L,"Ouverte"))</f>
        <v/>
      </c>
      <c r="G341" s="87">
        <f>IF(A341="","",COUNTIFS(COMPOSANTS!B:B,A341,COMPOSANTS!G:G,"Défectueux"))</f>
        <v/>
      </c>
      <c r="H341" s="87">
        <f>IF(A341="","",IFERROR(VLOOKUP(A341,EQUIPEMENTS!A:R,18,0),""))</f>
        <v/>
      </c>
      <c r="I341" s="87">
        <f>IF(A341="","",IF(AND(C341="Haute",D341="En panne"),"🔴 CRITIQUE",IF(OR(E341&gt;0,F341&gt;0,G341&gt;0),"🟠 ATTENTION","🟢 OK")))</f>
        <v/>
      </c>
      <c r="J341" s="87">
        <f>IF(A341="","",IFERROR(VLOOKUP(A341,EQUIPEMENTS!A:Q,17,0),""))</f>
        <v/>
      </c>
      <c r="K341" s="87" t="n"/>
    </row>
    <row r="342" ht="15" customHeight="1" s="59">
      <c r="A342" s="84">
        <f>IFERROR(EQUIPEMENTS!A342,"")</f>
        <v/>
      </c>
      <c r="B342" s="84">
        <f>IF(A342="","",IFERROR(VLOOKUP(A342,EQUIPEMENTS!A:B,2,0),""))</f>
        <v/>
      </c>
      <c r="C342" s="84">
        <f>IF(A342="","",IFERROR(VLOOKUP(A342,EQUIPEMENTS!A:D,4,0),""))</f>
        <v/>
      </c>
      <c r="D342" s="84">
        <f>IF(A342="","",IFERROR(VLOOKUP(A342,EQUIPEMENTS!A:M,13,0),""))</f>
        <v/>
      </c>
      <c r="E342" s="84">
        <f>IF(A342="","",COUNTIFS(MAINT_PREV!B:B,A342,MAINT_PREV!G:G,"Planifiée",MAINT_PREV!E:E,"&lt;"&amp;TODAY(),MAINT_PREV!H:H,""))</f>
        <v/>
      </c>
      <c r="F342" s="84">
        <f>IF(A342="","",COUNTIFS(INTERVENTIONS!B:B,A342,INTERVENTIONS!L:L,"Ouverte"))</f>
        <v/>
      </c>
      <c r="G342" s="84">
        <f>IF(A342="","",COUNTIFS(COMPOSANTS!B:B,A342,COMPOSANTS!G:G,"Défectueux"))</f>
        <v/>
      </c>
      <c r="H342" s="84">
        <f>IF(A342="","",IFERROR(VLOOKUP(A342,EQUIPEMENTS!A:R,18,0),""))</f>
        <v/>
      </c>
      <c r="I342" s="84">
        <f>IF(A342="","",IF(AND(C342="Haute",D342="En panne"),"🔴 CRITIQUE",IF(OR(E342&gt;0,F342&gt;0,G342&gt;0),"🟠 ATTENTION","🟢 OK")))</f>
        <v/>
      </c>
      <c r="J342" s="84">
        <f>IF(A342="","",IFERROR(VLOOKUP(A342,EQUIPEMENTS!A:Q,17,0),""))</f>
        <v/>
      </c>
      <c r="K342" s="84" t="n"/>
    </row>
    <row r="343" ht="15" customHeight="1" s="59">
      <c r="A343" s="87">
        <f>IFERROR(EQUIPEMENTS!A343,"")</f>
        <v/>
      </c>
      <c r="B343" s="87">
        <f>IF(A343="","",IFERROR(VLOOKUP(A343,EQUIPEMENTS!A:B,2,0),""))</f>
        <v/>
      </c>
      <c r="C343" s="87">
        <f>IF(A343="","",IFERROR(VLOOKUP(A343,EQUIPEMENTS!A:D,4,0),""))</f>
        <v/>
      </c>
      <c r="D343" s="87">
        <f>IF(A343="","",IFERROR(VLOOKUP(A343,EQUIPEMENTS!A:M,13,0),""))</f>
        <v/>
      </c>
      <c r="E343" s="87">
        <f>IF(A343="","",COUNTIFS(MAINT_PREV!B:B,A343,MAINT_PREV!G:G,"Planifiée",MAINT_PREV!E:E,"&lt;"&amp;TODAY(),MAINT_PREV!H:H,""))</f>
        <v/>
      </c>
      <c r="F343" s="87">
        <f>IF(A343="","",COUNTIFS(INTERVENTIONS!B:B,A343,INTERVENTIONS!L:L,"Ouverte"))</f>
        <v/>
      </c>
      <c r="G343" s="87">
        <f>IF(A343="","",COUNTIFS(COMPOSANTS!B:B,A343,COMPOSANTS!G:G,"Défectueux"))</f>
        <v/>
      </c>
      <c r="H343" s="87">
        <f>IF(A343="","",IFERROR(VLOOKUP(A343,EQUIPEMENTS!A:R,18,0),""))</f>
        <v/>
      </c>
      <c r="I343" s="87">
        <f>IF(A343="","",IF(AND(C343="Haute",D343="En panne"),"🔴 CRITIQUE",IF(OR(E343&gt;0,F343&gt;0,G343&gt;0),"🟠 ATTENTION","🟢 OK")))</f>
        <v/>
      </c>
      <c r="J343" s="87">
        <f>IF(A343="","",IFERROR(VLOOKUP(A343,EQUIPEMENTS!A:Q,17,0),""))</f>
        <v/>
      </c>
      <c r="K343" s="87" t="n"/>
    </row>
    <row r="344" ht="15" customHeight="1" s="59">
      <c r="A344" s="84">
        <f>IFERROR(EQUIPEMENTS!A344,"")</f>
        <v/>
      </c>
      <c r="B344" s="84">
        <f>IF(A344="","",IFERROR(VLOOKUP(A344,EQUIPEMENTS!A:B,2,0),""))</f>
        <v/>
      </c>
      <c r="C344" s="84">
        <f>IF(A344="","",IFERROR(VLOOKUP(A344,EQUIPEMENTS!A:D,4,0),""))</f>
        <v/>
      </c>
      <c r="D344" s="84">
        <f>IF(A344="","",IFERROR(VLOOKUP(A344,EQUIPEMENTS!A:M,13,0),""))</f>
        <v/>
      </c>
      <c r="E344" s="84">
        <f>IF(A344="","",COUNTIFS(MAINT_PREV!B:B,A344,MAINT_PREV!G:G,"Planifiée",MAINT_PREV!E:E,"&lt;"&amp;TODAY(),MAINT_PREV!H:H,""))</f>
        <v/>
      </c>
      <c r="F344" s="84">
        <f>IF(A344="","",COUNTIFS(INTERVENTIONS!B:B,A344,INTERVENTIONS!L:L,"Ouverte"))</f>
        <v/>
      </c>
      <c r="G344" s="84">
        <f>IF(A344="","",COUNTIFS(COMPOSANTS!B:B,A344,COMPOSANTS!G:G,"Défectueux"))</f>
        <v/>
      </c>
      <c r="H344" s="84">
        <f>IF(A344="","",IFERROR(VLOOKUP(A344,EQUIPEMENTS!A:R,18,0),""))</f>
        <v/>
      </c>
      <c r="I344" s="84">
        <f>IF(A344="","",IF(AND(C344="Haute",D344="En panne"),"🔴 CRITIQUE",IF(OR(E344&gt;0,F344&gt;0,G344&gt;0),"🟠 ATTENTION","🟢 OK")))</f>
        <v/>
      </c>
      <c r="J344" s="84">
        <f>IF(A344="","",IFERROR(VLOOKUP(A344,EQUIPEMENTS!A:Q,17,0),""))</f>
        <v/>
      </c>
      <c r="K344" s="84" t="n"/>
    </row>
    <row r="345" ht="15" customHeight="1" s="59">
      <c r="A345" s="87">
        <f>IFERROR(EQUIPEMENTS!A345,"")</f>
        <v/>
      </c>
      <c r="B345" s="87">
        <f>IF(A345="","",IFERROR(VLOOKUP(A345,EQUIPEMENTS!A:B,2,0),""))</f>
        <v/>
      </c>
      <c r="C345" s="87">
        <f>IF(A345="","",IFERROR(VLOOKUP(A345,EQUIPEMENTS!A:D,4,0),""))</f>
        <v/>
      </c>
      <c r="D345" s="87">
        <f>IF(A345="","",IFERROR(VLOOKUP(A345,EQUIPEMENTS!A:M,13,0),""))</f>
        <v/>
      </c>
      <c r="E345" s="87">
        <f>IF(A345="","",COUNTIFS(MAINT_PREV!B:B,A345,MAINT_PREV!G:G,"Planifiée",MAINT_PREV!E:E,"&lt;"&amp;TODAY(),MAINT_PREV!H:H,""))</f>
        <v/>
      </c>
      <c r="F345" s="87">
        <f>IF(A345="","",COUNTIFS(INTERVENTIONS!B:B,A345,INTERVENTIONS!L:L,"Ouverte"))</f>
        <v/>
      </c>
      <c r="G345" s="87">
        <f>IF(A345="","",COUNTIFS(COMPOSANTS!B:B,A345,COMPOSANTS!G:G,"Défectueux"))</f>
        <v/>
      </c>
      <c r="H345" s="87">
        <f>IF(A345="","",IFERROR(VLOOKUP(A345,EQUIPEMENTS!A:R,18,0),""))</f>
        <v/>
      </c>
      <c r="I345" s="87">
        <f>IF(A345="","",IF(AND(C345="Haute",D345="En panne"),"🔴 CRITIQUE",IF(OR(E345&gt;0,F345&gt;0,G345&gt;0),"🟠 ATTENTION","🟢 OK")))</f>
        <v/>
      </c>
      <c r="J345" s="87">
        <f>IF(A345="","",IFERROR(VLOOKUP(A345,EQUIPEMENTS!A:Q,17,0),""))</f>
        <v/>
      </c>
      <c r="K345" s="87" t="n"/>
    </row>
    <row r="346" ht="15" customHeight="1" s="59">
      <c r="A346" s="84">
        <f>IFERROR(EQUIPEMENTS!A346,"")</f>
        <v/>
      </c>
      <c r="B346" s="84">
        <f>IF(A346="","",IFERROR(VLOOKUP(A346,EQUIPEMENTS!A:B,2,0),""))</f>
        <v/>
      </c>
      <c r="C346" s="84">
        <f>IF(A346="","",IFERROR(VLOOKUP(A346,EQUIPEMENTS!A:D,4,0),""))</f>
        <v/>
      </c>
      <c r="D346" s="84">
        <f>IF(A346="","",IFERROR(VLOOKUP(A346,EQUIPEMENTS!A:M,13,0),""))</f>
        <v/>
      </c>
      <c r="E346" s="84">
        <f>IF(A346="","",COUNTIFS(MAINT_PREV!B:B,A346,MAINT_PREV!G:G,"Planifiée",MAINT_PREV!E:E,"&lt;"&amp;TODAY(),MAINT_PREV!H:H,""))</f>
        <v/>
      </c>
      <c r="F346" s="84">
        <f>IF(A346="","",COUNTIFS(INTERVENTIONS!B:B,A346,INTERVENTIONS!L:L,"Ouverte"))</f>
        <v/>
      </c>
      <c r="G346" s="84">
        <f>IF(A346="","",COUNTIFS(COMPOSANTS!B:B,A346,COMPOSANTS!G:G,"Défectueux"))</f>
        <v/>
      </c>
      <c r="H346" s="84">
        <f>IF(A346="","",IFERROR(VLOOKUP(A346,EQUIPEMENTS!A:R,18,0),""))</f>
        <v/>
      </c>
      <c r="I346" s="84">
        <f>IF(A346="","",IF(AND(C346="Haute",D346="En panne"),"🔴 CRITIQUE",IF(OR(E346&gt;0,F346&gt;0,G346&gt;0),"🟠 ATTENTION","🟢 OK")))</f>
        <v/>
      </c>
      <c r="J346" s="84">
        <f>IF(A346="","",IFERROR(VLOOKUP(A346,EQUIPEMENTS!A:Q,17,0),""))</f>
        <v/>
      </c>
      <c r="K346" s="84" t="n"/>
    </row>
    <row r="347" ht="15" customHeight="1" s="59">
      <c r="A347" s="87">
        <f>IFERROR(EQUIPEMENTS!A347,"")</f>
        <v/>
      </c>
      <c r="B347" s="87">
        <f>IF(A347="","",IFERROR(VLOOKUP(A347,EQUIPEMENTS!A:B,2,0),""))</f>
        <v/>
      </c>
      <c r="C347" s="87">
        <f>IF(A347="","",IFERROR(VLOOKUP(A347,EQUIPEMENTS!A:D,4,0),""))</f>
        <v/>
      </c>
      <c r="D347" s="87">
        <f>IF(A347="","",IFERROR(VLOOKUP(A347,EQUIPEMENTS!A:M,13,0),""))</f>
        <v/>
      </c>
      <c r="E347" s="87">
        <f>IF(A347="","",COUNTIFS(MAINT_PREV!B:B,A347,MAINT_PREV!G:G,"Planifiée",MAINT_PREV!E:E,"&lt;"&amp;TODAY(),MAINT_PREV!H:H,""))</f>
        <v/>
      </c>
      <c r="F347" s="87">
        <f>IF(A347="","",COUNTIFS(INTERVENTIONS!B:B,A347,INTERVENTIONS!L:L,"Ouverte"))</f>
        <v/>
      </c>
      <c r="G347" s="87">
        <f>IF(A347="","",COUNTIFS(COMPOSANTS!B:B,A347,COMPOSANTS!G:G,"Défectueux"))</f>
        <v/>
      </c>
      <c r="H347" s="87">
        <f>IF(A347="","",IFERROR(VLOOKUP(A347,EQUIPEMENTS!A:R,18,0),""))</f>
        <v/>
      </c>
      <c r="I347" s="87">
        <f>IF(A347="","",IF(AND(C347="Haute",D347="En panne"),"🔴 CRITIQUE",IF(OR(E347&gt;0,F347&gt;0,G347&gt;0),"🟠 ATTENTION","🟢 OK")))</f>
        <v/>
      </c>
      <c r="J347" s="87">
        <f>IF(A347="","",IFERROR(VLOOKUP(A347,EQUIPEMENTS!A:Q,17,0),""))</f>
        <v/>
      </c>
      <c r="K347" s="87" t="n"/>
    </row>
    <row r="348" ht="15" customHeight="1" s="59">
      <c r="A348" s="84">
        <f>IFERROR(EQUIPEMENTS!A348,"")</f>
        <v/>
      </c>
      <c r="B348" s="84">
        <f>IF(A348="","",IFERROR(VLOOKUP(A348,EQUIPEMENTS!A:B,2,0),""))</f>
        <v/>
      </c>
      <c r="C348" s="84">
        <f>IF(A348="","",IFERROR(VLOOKUP(A348,EQUIPEMENTS!A:D,4,0),""))</f>
        <v/>
      </c>
      <c r="D348" s="84">
        <f>IF(A348="","",IFERROR(VLOOKUP(A348,EQUIPEMENTS!A:M,13,0),""))</f>
        <v/>
      </c>
      <c r="E348" s="84">
        <f>IF(A348="","",COUNTIFS(MAINT_PREV!B:B,A348,MAINT_PREV!G:G,"Planifiée",MAINT_PREV!E:E,"&lt;"&amp;TODAY(),MAINT_PREV!H:H,""))</f>
        <v/>
      </c>
      <c r="F348" s="84">
        <f>IF(A348="","",COUNTIFS(INTERVENTIONS!B:B,A348,INTERVENTIONS!L:L,"Ouverte"))</f>
        <v/>
      </c>
      <c r="G348" s="84">
        <f>IF(A348="","",COUNTIFS(COMPOSANTS!B:B,A348,COMPOSANTS!G:G,"Défectueux"))</f>
        <v/>
      </c>
      <c r="H348" s="84">
        <f>IF(A348="","",IFERROR(VLOOKUP(A348,EQUIPEMENTS!A:R,18,0),""))</f>
        <v/>
      </c>
      <c r="I348" s="84">
        <f>IF(A348="","",IF(AND(C348="Haute",D348="En panne"),"🔴 CRITIQUE",IF(OR(E348&gt;0,F348&gt;0,G348&gt;0),"🟠 ATTENTION","🟢 OK")))</f>
        <v/>
      </c>
      <c r="J348" s="84">
        <f>IF(A348="","",IFERROR(VLOOKUP(A348,EQUIPEMENTS!A:Q,17,0),""))</f>
        <v/>
      </c>
      <c r="K348" s="84" t="n"/>
    </row>
    <row r="349" ht="15" customHeight="1" s="59">
      <c r="A349" s="87">
        <f>IFERROR(EQUIPEMENTS!A349,"")</f>
        <v/>
      </c>
      <c r="B349" s="87">
        <f>IF(A349="","",IFERROR(VLOOKUP(A349,EQUIPEMENTS!A:B,2,0),""))</f>
        <v/>
      </c>
      <c r="C349" s="87">
        <f>IF(A349="","",IFERROR(VLOOKUP(A349,EQUIPEMENTS!A:D,4,0),""))</f>
        <v/>
      </c>
      <c r="D349" s="87">
        <f>IF(A349="","",IFERROR(VLOOKUP(A349,EQUIPEMENTS!A:M,13,0),""))</f>
        <v/>
      </c>
      <c r="E349" s="87">
        <f>IF(A349="","",COUNTIFS(MAINT_PREV!B:B,A349,MAINT_PREV!G:G,"Planifiée",MAINT_PREV!E:E,"&lt;"&amp;TODAY(),MAINT_PREV!H:H,""))</f>
        <v/>
      </c>
      <c r="F349" s="87">
        <f>IF(A349="","",COUNTIFS(INTERVENTIONS!B:B,A349,INTERVENTIONS!L:L,"Ouverte"))</f>
        <v/>
      </c>
      <c r="G349" s="87">
        <f>IF(A349="","",COUNTIFS(COMPOSANTS!B:B,A349,COMPOSANTS!G:G,"Défectueux"))</f>
        <v/>
      </c>
      <c r="H349" s="87">
        <f>IF(A349="","",IFERROR(VLOOKUP(A349,EQUIPEMENTS!A:R,18,0),""))</f>
        <v/>
      </c>
      <c r="I349" s="87">
        <f>IF(A349="","",IF(AND(C349="Haute",D349="En panne"),"🔴 CRITIQUE",IF(OR(E349&gt;0,F349&gt;0,G349&gt;0),"🟠 ATTENTION","🟢 OK")))</f>
        <v/>
      </c>
      <c r="J349" s="87">
        <f>IF(A349="","",IFERROR(VLOOKUP(A349,EQUIPEMENTS!A:Q,17,0),""))</f>
        <v/>
      </c>
      <c r="K349" s="87" t="n"/>
    </row>
    <row r="350" ht="15" customHeight="1" s="59">
      <c r="A350" s="84">
        <f>IFERROR(EQUIPEMENTS!A350,"")</f>
        <v/>
      </c>
      <c r="B350" s="84">
        <f>IF(A350="","",IFERROR(VLOOKUP(A350,EQUIPEMENTS!A:B,2,0),""))</f>
        <v/>
      </c>
      <c r="C350" s="84">
        <f>IF(A350="","",IFERROR(VLOOKUP(A350,EQUIPEMENTS!A:D,4,0),""))</f>
        <v/>
      </c>
      <c r="D350" s="84">
        <f>IF(A350="","",IFERROR(VLOOKUP(A350,EQUIPEMENTS!A:M,13,0),""))</f>
        <v/>
      </c>
      <c r="E350" s="84">
        <f>IF(A350="","",COUNTIFS(MAINT_PREV!B:B,A350,MAINT_PREV!G:G,"Planifiée",MAINT_PREV!E:E,"&lt;"&amp;TODAY(),MAINT_PREV!H:H,""))</f>
        <v/>
      </c>
      <c r="F350" s="84">
        <f>IF(A350="","",COUNTIFS(INTERVENTIONS!B:B,A350,INTERVENTIONS!L:L,"Ouverte"))</f>
        <v/>
      </c>
      <c r="G350" s="84">
        <f>IF(A350="","",COUNTIFS(COMPOSANTS!B:B,A350,COMPOSANTS!G:G,"Défectueux"))</f>
        <v/>
      </c>
      <c r="H350" s="84">
        <f>IF(A350="","",IFERROR(VLOOKUP(A350,EQUIPEMENTS!A:R,18,0),""))</f>
        <v/>
      </c>
      <c r="I350" s="84">
        <f>IF(A350="","",IF(AND(C350="Haute",D350="En panne"),"🔴 CRITIQUE",IF(OR(E350&gt;0,F350&gt;0,G350&gt;0),"🟠 ATTENTION","🟢 OK")))</f>
        <v/>
      </c>
      <c r="J350" s="84">
        <f>IF(A350="","",IFERROR(VLOOKUP(A350,EQUIPEMENTS!A:Q,17,0),""))</f>
        <v/>
      </c>
      <c r="K350" s="84" t="n"/>
    </row>
    <row r="351" ht="15" customHeight="1" s="59">
      <c r="A351" s="87">
        <f>IFERROR(EQUIPEMENTS!A351,"")</f>
        <v/>
      </c>
      <c r="B351" s="87">
        <f>IF(A351="","",IFERROR(VLOOKUP(A351,EQUIPEMENTS!A:B,2,0),""))</f>
        <v/>
      </c>
      <c r="C351" s="87">
        <f>IF(A351="","",IFERROR(VLOOKUP(A351,EQUIPEMENTS!A:D,4,0),""))</f>
        <v/>
      </c>
      <c r="D351" s="87">
        <f>IF(A351="","",IFERROR(VLOOKUP(A351,EQUIPEMENTS!A:M,13,0),""))</f>
        <v/>
      </c>
      <c r="E351" s="87">
        <f>IF(A351="","",COUNTIFS(MAINT_PREV!B:B,A351,MAINT_PREV!G:G,"Planifiée",MAINT_PREV!E:E,"&lt;"&amp;TODAY(),MAINT_PREV!H:H,""))</f>
        <v/>
      </c>
      <c r="F351" s="87">
        <f>IF(A351="","",COUNTIFS(INTERVENTIONS!B:B,A351,INTERVENTIONS!L:L,"Ouverte"))</f>
        <v/>
      </c>
      <c r="G351" s="87">
        <f>IF(A351="","",COUNTIFS(COMPOSANTS!B:B,A351,COMPOSANTS!G:G,"Défectueux"))</f>
        <v/>
      </c>
      <c r="H351" s="87">
        <f>IF(A351="","",IFERROR(VLOOKUP(A351,EQUIPEMENTS!A:R,18,0),""))</f>
        <v/>
      </c>
      <c r="I351" s="87">
        <f>IF(A351="","",IF(AND(C351="Haute",D351="En panne"),"🔴 CRITIQUE",IF(OR(E351&gt;0,F351&gt;0,G351&gt;0),"🟠 ATTENTION","🟢 OK")))</f>
        <v/>
      </c>
      <c r="J351" s="87">
        <f>IF(A351="","",IFERROR(VLOOKUP(A351,EQUIPEMENTS!A:Q,17,0),""))</f>
        <v/>
      </c>
      <c r="K351" s="87" t="n"/>
    </row>
    <row r="352" ht="15" customHeight="1" s="59">
      <c r="A352" s="84">
        <f>IFERROR(EQUIPEMENTS!A352,"")</f>
        <v/>
      </c>
      <c r="B352" s="84">
        <f>IF(A352="","",IFERROR(VLOOKUP(A352,EQUIPEMENTS!A:B,2,0),""))</f>
        <v/>
      </c>
      <c r="C352" s="84">
        <f>IF(A352="","",IFERROR(VLOOKUP(A352,EQUIPEMENTS!A:D,4,0),""))</f>
        <v/>
      </c>
      <c r="D352" s="84">
        <f>IF(A352="","",IFERROR(VLOOKUP(A352,EQUIPEMENTS!A:M,13,0),""))</f>
        <v/>
      </c>
      <c r="E352" s="84">
        <f>IF(A352="","",COUNTIFS(MAINT_PREV!B:B,A352,MAINT_PREV!G:G,"Planifiée",MAINT_PREV!E:E,"&lt;"&amp;TODAY(),MAINT_PREV!H:H,""))</f>
        <v/>
      </c>
      <c r="F352" s="84">
        <f>IF(A352="","",COUNTIFS(INTERVENTIONS!B:B,A352,INTERVENTIONS!L:L,"Ouverte"))</f>
        <v/>
      </c>
      <c r="G352" s="84">
        <f>IF(A352="","",COUNTIFS(COMPOSANTS!B:B,A352,COMPOSANTS!G:G,"Défectueux"))</f>
        <v/>
      </c>
      <c r="H352" s="84">
        <f>IF(A352="","",IFERROR(VLOOKUP(A352,EQUIPEMENTS!A:R,18,0),""))</f>
        <v/>
      </c>
      <c r="I352" s="84">
        <f>IF(A352="","",IF(AND(C352="Haute",D352="En panne"),"🔴 CRITIQUE",IF(OR(E352&gt;0,F352&gt;0,G352&gt;0),"🟠 ATTENTION","🟢 OK")))</f>
        <v/>
      </c>
      <c r="J352" s="84">
        <f>IF(A352="","",IFERROR(VLOOKUP(A352,EQUIPEMENTS!A:Q,17,0),""))</f>
        <v/>
      </c>
      <c r="K352" s="84" t="n"/>
    </row>
    <row r="353" ht="15" customHeight="1" s="59">
      <c r="A353" s="87">
        <f>IFERROR(EQUIPEMENTS!A353,"")</f>
        <v/>
      </c>
      <c r="B353" s="87">
        <f>IF(A353="","",IFERROR(VLOOKUP(A353,EQUIPEMENTS!A:B,2,0),""))</f>
        <v/>
      </c>
      <c r="C353" s="87">
        <f>IF(A353="","",IFERROR(VLOOKUP(A353,EQUIPEMENTS!A:D,4,0),""))</f>
        <v/>
      </c>
      <c r="D353" s="87">
        <f>IF(A353="","",IFERROR(VLOOKUP(A353,EQUIPEMENTS!A:M,13,0),""))</f>
        <v/>
      </c>
      <c r="E353" s="87">
        <f>IF(A353="","",COUNTIFS(MAINT_PREV!B:B,A353,MAINT_PREV!G:G,"Planifiée",MAINT_PREV!E:E,"&lt;"&amp;TODAY(),MAINT_PREV!H:H,""))</f>
        <v/>
      </c>
      <c r="F353" s="87">
        <f>IF(A353="","",COUNTIFS(INTERVENTIONS!B:B,A353,INTERVENTIONS!L:L,"Ouverte"))</f>
        <v/>
      </c>
      <c r="G353" s="87">
        <f>IF(A353="","",COUNTIFS(COMPOSANTS!B:B,A353,COMPOSANTS!G:G,"Défectueux"))</f>
        <v/>
      </c>
      <c r="H353" s="87">
        <f>IF(A353="","",IFERROR(VLOOKUP(A353,EQUIPEMENTS!A:R,18,0),""))</f>
        <v/>
      </c>
      <c r="I353" s="87">
        <f>IF(A353="","",IF(AND(C353="Haute",D353="En panne"),"🔴 CRITIQUE",IF(OR(E353&gt;0,F353&gt;0,G353&gt;0),"🟠 ATTENTION","🟢 OK")))</f>
        <v/>
      </c>
      <c r="J353" s="87">
        <f>IF(A353="","",IFERROR(VLOOKUP(A353,EQUIPEMENTS!A:Q,17,0),""))</f>
        <v/>
      </c>
      <c r="K353" s="87" t="n"/>
    </row>
    <row r="354" ht="15" customHeight="1" s="59">
      <c r="A354" s="84">
        <f>IFERROR(EQUIPEMENTS!A354,"")</f>
        <v/>
      </c>
      <c r="B354" s="84">
        <f>IF(A354="","",IFERROR(VLOOKUP(A354,EQUIPEMENTS!A:B,2,0),""))</f>
        <v/>
      </c>
      <c r="C354" s="84">
        <f>IF(A354="","",IFERROR(VLOOKUP(A354,EQUIPEMENTS!A:D,4,0),""))</f>
        <v/>
      </c>
      <c r="D354" s="84">
        <f>IF(A354="","",IFERROR(VLOOKUP(A354,EQUIPEMENTS!A:M,13,0),""))</f>
        <v/>
      </c>
      <c r="E354" s="84">
        <f>IF(A354="","",COUNTIFS(MAINT_PREV!B:B,A354,MAINT_PREV!G:G,"Planifiée",MAINT_PREV!E:E,"&lt;"&amp;TODAY(),MAINT_PREV!H:H,""))</f>
        <v/>
      </c>
      <c r="F354" s="84">
        <f>IF(A354="","",COUNTIFS(INTERVENTIONS!B:B,A354,INTERVENTIONS!L:L,"Ouverte"))</f>
        <v/>
      </c>
      <c r="G354" s="84">
        <f>IF(A354="","",COUNTIFS(COMPOSANTS!B:B,A354,COMPOSANTS!G:G,"Défectueux"))</f>
        <v/>
      </c>
      <c r="H354" s="84">
        <f>IF(A354="","",IFERROR(VLOOKUP(A354,EQUIPEMENTS!A:R,18,0),""))</f>
        <v/>
      </c>
      <c r="I354" s="84">
        <f>IF(A354="","",IF(AND(C354="Haute",D354="En panne"),"🔴 CRITIQUE",IF(OR(E354&gt;0,F354&gt;0,G354&gt;0),"🟠 ATTENTION","🟢 OK")))</f>
        <v/>
      </c>
      <c r="J354" s="84">
        <f>IF(A354="","",IFERROR(VLOOKUP(A354,EQUIPEMENTS!A:Q,17,0),""))</f>
        <v/>
      </c>
      <c r="K354" s="84" t="n"/>
    </row>
    <row r="355" ht="15" customHeight="1" s="59">
      <c r="A355" s="87">
        <f>IFERROR(EQUIPEMENTS!A355,"")</f>
        <v/>
      </c>
      <c r="B355" s="87">
        <f>IF(A355="","",IFERROR(VLOOKUP(A355,EQUIPEMENTS!A:B,2,0),""))</f>
        <v/>
      </c>
      <c r="C355" s="87">
        <f>IF(A355="","",IFERROR(VLOOKUP(A355,EQUIPEMENTS!A:D,4,0),""))</f>
        <v/>
      </c>
      <c r="D355" s="87">
        <f>IF(A355="","",IFERROR(VLOOKUP(A355,EQUIPEMENTS!A:M,13,0),""))</f>
        <v/>
      </c>
      <c r="E355" s="87">
        <f>IF(A355="","",COUNTIFS(MAINT_PREV!B:B,A355,MAINT_PREV!G:G,"Planifiée",MAINT_PREV!E:E,"&lt;"&amp;TODAY(),MAINT_PREV!H:H,""))</f>
        <v/>
      </c>
      <c r="F355" s="87">
        <f>IF(A355="","",COUNTIFS(INTERVENTIONS!B:B,A355,INTERVENTIONS!L:L,"Ouverte"))</f>
        <v/>
      </c>
      <c r="G355" s="87">
        <f>IF(A355="","",COUNTIFS(COMPOSANTS!B:B,A355,COMPOSANTS!G:G,"Défectueux"))</f>
        <v/>
      </c>
      <c r="H355" s="87">
        <f>IF(A355="","",IFERROR(VLOOKUP(A355,EQUIPEMENTS!A:R,18,0),""))</f>
        <v/>
      </c>
      <c r="I355" s="87">
        <f>IF(A355="","",IF(AND(C355="Haute",D355="En panne"),"🔴 CRITIQUE",IF(OR(E355&gt;0,F355&gt;0,G355&gt;0),"🟠 ATTENTION","🟢 OK")))</f>
        <v/>
      </c>
      <c r="J355" s="87">
        <f>IF(A355="","",IFERROR(VLOOKUP(A355,EQUIPEMENTS!A:Q,17,0),""))</f>
        <v/>
      </c>
      <c r="K355" s="87" t="n"/>
    </row>
    <row r="356" ht="15" customHeight="1" s="59">
      <c r="A356" s="84">
        <f>IFERROR(EQUIPEMENTS!A356,"")</f>
        <v/>
      </c>
      <c r="B356" s="84">
        <f>IF(A356="","",IFERROR(VLOOKUP(A356,EQUIPEMENTS!A:B,2,0),""))</f>
        <v/>
      </c>
      <c r="C356" s="84">
        <f>IF(A356="","",IFERROR(VLOOKUP(A356,EQUIPEMENTS!A:D,4,0),""))</f>
        <v/>
      </c>
      <c r="D356" s="84">
        <f>IF(A356="","",IFERROR(VLOOKUP(A356,EQUIPEMENTS!A:M,13,0),""))</f>
        <v/>
      </c>
      <c r="E356" s="84">
        <f>IF(A356="","",COUNTIFS(MAINT_PREV!B:B,A356,MAINT_PREV!G:G,"Planifiée",MAINT_PREV!E:E,"&lt;"&amp;TODAY(),MAINT_PREV!H:H,""))</f>
        <v/>
      </c>
      <c r="F356" s="84">
        <f>IF(A356="","",COUNTIFS(INTERVENTIONS!B:B,A356,INTERVENTIONS!L:L,"Ouverte"))</f>
        <v/>
      </c>
      <c r="G356" s="84">
        <f>IF(A356="","",COUNTIFS(COMPOSANTS!B:B,A356,COMPOSANTS!G:G,"Défectueux"))</f>
        <v/>
      </c>
      <c r="H356" s="84">
        <f>IF(A356="","",IFERROR(VLOOKUP(A356,EQUIPEMENTS!A:R,18,0),""))</f>
        <v/>
      </c>
      <c r="I356" s="84">
        <f>IF(A356="","",IF(AND(C356="Haute",D356="En panne"),"🔴 CRITIQUE",IF(OR(E356&gt;0,F356&gt;0,G356&gt;0),"🟠 ATTENTION","🟢 OK")))</f>
        <v/>
      </c>
      <c r="J356" s="84">
        <f>IF(A356="","",IFERROR(VLOOKUP(A356,EQUIPEMENTS!A:Q,17,0),""))</f>
        <v/>
      </c>
      <c r="K356" s="84" t="n"/>
    </row>
    <row r="357" ht="15" customHeight="1" s="59">
      <c r="A357" s="87">
        <f>IFERROR(EQUIPEMENTS!A357,"")</f>
        <v/>
      </c>
      <c r="B357" s="87">
        <f>IF(A357="","",IFERROR(VLOOKUP(A357,EQUIPEMENTS!A:B,2,0),""))</f>
        <v/>
      </c>
      <c r="C357" s="87">
        <f>IF(A357="","",IFERROR(VLOOKUP(A357,EQUIPEMENTS!A:D,4,0),""))</f>
        <v/>
      </c>
      <c r="D357" s="87">
        <f>IF(A357="","",IFERROR(VLOOKUP(A357,EQUIPEMENTS!A:M,13,0),""))</f>
        <v/>
      </c>
      <c r="E357" s="87">
        <f>IF(A357="","",COUNTIFS(MAINT_PREV!B:B,A357,MAINT_PREV!G:G,"Planifiée",MAINT_PREV!E:E,"&lt;"&amp;TODAY(),MAINT_PREV!H:H,""))</f>
        <v/>
      </c>
      <c r="F357" s="87">
        <f>IF(A357="","",COUNTIFS(INTERVENTIONS!B:B,A357,INTERVENTIONS!L:L,"Ouverte"))</f>
        <v/>
      </c>
      <c r="G357" s="87">
        <f>IF(A357="","",COUNTIFS(COMPOSANTS!B:B,A357,COMPOSANTS!G:G,"Défectueux"))</f>
        <v/>
      </c>
      <c r="H357" s="87">
        <f>IF(A357="","",IFERROR(VLOOKUP(A357,EQUIPEMENTS!A:R,18,0),""))</f>
        <v/>
      </c>
      <c r="I357" s="87">
        <f>IF(A357="","",IF(AND(C357="Haute",D357="En panne"),"🔴 CRITIQUE",IF(OR(E357&gt;0,F357&gt;0,G357&gt;0),"🟠 ATTENTION","🟢 OK")))</f>
        <v/>
      </c>
      <c r="J357" s="87">
        <f>IF(A357="","",IFERROR(VLOOKUP(A357,EQUIPEMENTS!A:Q,17,0),""))</f>
        <v/>
      </c>
      <c r="K357" s="87" t="n"/>
    </row>
    <row r="358" ht="15" customHeight="1" s="59">
      <c r="A358" s="84">
        <f>IFERROR(EQUIPEMENTS!A358,"")</f>
        <v/>
      </c>
      <c r="B358" s="84">
        <f>IF(A358="","",IFERROR(VLOOKUP(A358,EQUIPEMENTS!A:B,2,0),""))</f>
        <v/>
      </c>
      <c r="C358" s="84">
        <f>IF(A358="","",IFERROR(VLOOKUP(A358,EQUIPEMENTS!A:D,4,0),""))</f>
        <v/>
      </c>
      <c r="D358" s="84">
        <f>IF(A358="","",IFERROR(VLOOKUP(A358,EQUIPEMENTS!A:M,13,0),""))</f>
        <v/>
      </c>
      <c r="E358" s="84">
        <f>IF(A358="","",COUNTIFS(MAINT_PREV!B:B,A358,MAINT_PREV!G:G,"Planifiée",MAINT_PREV!E:E,"&lt;"&amp;TODAY(),MAINT_PREV!H:H,""))</f>
        <v/>
      </c>
      <c r="F358" s="84">
        <f>IF(A358="","",COUNTIFS(INTERVENTIONS!B:B,A358,INTERVENTIONS!L:L,"Ouverte"))</f>
        <v/>
      </c>
      <c r="G358" s="84">
        <f>IF(A358="","",COUNTIFS(COMPOSANTS!B:B,A358,COMPOSANTS!G:G,"Défectueux"))</f>
        <v/>
      </c>
      <c r="H358" s="84">
        <f>IF(A358="","",IFERROR(VLOOKUP(A358,EQUIPEMENTS!A:R,18,0),""))</f>
        <v/>
      </c>
      <c r="I358" s="84">
        <f>IF(A358="","",IF(AND(C358="Haute",D358="En panne"),"🔴 CRITIQUE",IF(OR(E358&gt;0,F358&gt;0,G358&gt;0),"🟠 ATTENTION","🟢 OK")))</f>
        <v/>
      </c>
      <c r="J358" s="84">
        <f>IF(A358="","",IFERROR(VLOOKUP(A358,EQUIPEMENTS!A:Q,17,0),""))</f>
        <v/>
      </c>
      <c r="K358" s="84" t="n"/>
    </row>
    <row r="359" ht="15" customHeight="1" s="59">
      <c r="A359" s="87">
        <f>IFERROR(EQUIPEMENTS!A359,"")</f>
        <v/>
      </c>
      <c r="B359" s="87">
        <f>IF(A359="","",IFERROR(VLOOKUP(A359,EQUIPEMENTS!A:B,2,0),""))</f>
        <v/>
      </c>
      <c r="C359" s="87">
        <f>IF(A359="","",IFERROR(VLOOKUP(A359,EQUIPEMENTS!A:D,4,0),""))</f>
        <v/>
      </c>
      <c r="D359" s="87">
        <f>IF(A359="","",IFERROR(VLOOKUP(A359,EQUIPEMENTS!A:M,13,0),""))</f>
        <v/>
      </c>
      <c r="E359" s="87">
        <f>IF(A359="","",COUNTIFS(MAINT_PREV!B:B,A359,MAINT_PREV!G:G,"Planifiée",MAINT_PREV!E:E,"&lt;"&amp;TODAY(),MAINT_PREV!H:H,""))</f>
        <v/>
      </c>
      <c r="F359" s="87">
        <f>IF(A359="","",COUNTIFS(INTERVENTIONS!B:B,A359,INTERVENTIONS!L:L,"Ouverte"))</f>
        <v/>
      </c>
      <c r="G359" s="87">
        <f>IF(A359="","",COUNTIFS(COMPOSANTS!B:B,A359,COMPOSANTS!G:G,"Défectueux"))</f>
        <v/>
      </c>
      <c r="H359" s="87">
        <f>IF(A359="","",IFERROR(VLOOKUP(A359,EQUIPEMENTS!A:R,18,0),""))</f>
        <v/>
      </c>
      <c r="I359" s="87">
        <f>IF(A359="","",IF(AND(C359="Haute",D359="En panne"),"🔴 CRITIQUE",IF(OR(E359&gt;0,F359&gt;0,G359&gt;0),"🟠 ATTENTION","🟢 OK")))</f>
        <v/>
      </c>
      <c r="J359" s="87">
        <f>IF(A359="","",IFERROR(VLOOKUP(A359,EQUIPEMENTS!A:Q,17,0),""))</f>
        <v/>
      </c>
      <c r="K359" s="87" t="n"/>
    </row>
    <row r="360" ht="15" customHeight="1" s="59">
      <c r="A360" s="84">
        <f>IFERROR(EQUIPEMENTS!A360,"")</f>
        <v/>
      </c>
      <c r="B360" s="84">
        <f>IF(A360="","",IFERROR(VLOOKUP(A360,EQUIPEMENTS!A:B,2,0),""))</f>
        <v/>
      </c>
      <c r="C360" s="84">
        <f>IF(A360="","",IFERROR(VLOOKUP(A360,EQUIPEMENTS!A:D,4,0),""))</f>
        <v/>
      </c>
      <c r="D360" s="84">
        <f>IF(A360="","",IFERROR(VLOOKUP(A360,EQUIPEMENTS!A:M,13,0),""))</f>
        <v/>
      </c>
      <c r="E360" s="84">
        <f>IF(A360="","",COUNTIFS(MAINT_PREV!B:B,A360,MAINT_PREV!G:G,"Planifiée",MAINT_PREV!E:E,"&lt;"&amp;TODAY(),MAINT_PREV!H:H,""))</f>
        <v/>
      </c>
      <c r="F360" s="84">
        <f>IF(A360="","",COUNTIFS(INTERVENTIONS!B:B,A360,INTERVENTIONS!L:L,"Ouverte"))</f>
        <v/>
      </c>
      <c r="G360" s="84">
        <f>IF(A360="","",COUNTIFS(COMPOSANTS!B:B,A360,COMPOSANTS!G:G,"Défectueux"))</f>
        <v/>
      </c>
      <c r="H360" s="84">
        <f>IF(A360="","",IFERROR(VLOOKUP(A360,EQUIPEMENTS!A:R,18,0),""))</f>
        <v/>
      </c>
      <c r="I360" s="84">
        <f>IF(A360="","",IF(AND(C360="Haute",D360="En panne"),"🔴 CRITIQUE",IF(OR(E360&gt;0,F360&gt;0,G360&gt;0),"🟠 ATTENTION","🟢 OK")))</f>
        <v/>
      </c>
      <c r="J360" s="84">
        <f>IF(A360="","",IFERROR(VLOOKUP(A360,EQUIPEMENTS!A:Q,17,0),""))</f>
        <v/>
      </c>
      <c r="K360" s="84" t="n"/>
    </row>
    <row r="361" ht="15" customHeight="1" s="59">
      <c r="A361" s="87">
        <f>IFERROR(EQUIPEMENTS!A361,"")</f>
        <v/>
      </c>
      <c r="B361" s="87">
        <f>IF(A361="","",IFERROR(VLOOKUP(A361,EQUIPEMENTS!A:B,2,0),""))</f>
        <v/>
      </c>
      <c r="C361" s="87">
        <f>IF(A361="","",IFERROR(VLOOKUP(A361,EQUIPEMENTS!A:D,4,0),""))</f>
        <v/>
      </c>
      <c r="D361" s="87">
        <f>IF(A361="","",IFERROR(VLOOKUP(A361,EQUIPEMENTS!A:M,13,0),""))</f>
        <v/>
      </c>
      <c r="E361" s="87">
        <f>IF(A361="","",COUNTIFS(MAINT_PREV!B:B,A361,MAINT_PREV!G:G,"Planifiée",MAINT_PREV!E:E,"&lt;"&amp;TODAY(),MAINT_PREV!H:H,""))</f>
        <v/>
      </c>
      <c r="F361" s="87">
        <f>IF(A361="","",COUNTIFS(INTERVENTIONS!B:B,A361,INTERVENTIONS!L:L,"Ouverte"))</f>
        <v/>
      </c>
      <c r="G361" s="87">
        <f>IF(A361="","",COUNTIFS(COMPOSANTS!B:B,A361,COMPOSANTS!G:G,"Défectueux"))</f>
        <v/>
      </c>
      <c r="H361" s="87">
        <f>IF(A361="","",IFERROR(VLOOKUP(A361,EQUIPEMENTS!A:R,18,0),""))</f>
        <v/>
      </c>
      <c r="I361" s="87">
        <f>IF(A361="","",IF(AND(C361="Haute",D361="En panne"),"🔴 CRITIQUE",IF(OR(E361&gt;0,F361&gt;0,G361&gt;0),"🟠 ATTENTION","🟢 OK")))</f>
        <v/>
      </c>
      <c r="J361" s="87">
        <f>IF(A361="","",IFERROR(VLOOKUP(A361,EQUIPEMENTS!A:Q,17,0),""))</f>
        <v/>
      </c>
      <c r="K361" s="87" t="n"/>
    </row>
    <row r="362" ht="15" customHeight="1" s="59">
      <c r="A362" s="84">
        <f>IFERROR(EQUIPEMENTS!A362,"")</f>
        <v/>
      </c>
      <c r="B362" s="84">
        <f>IF(A362="","",IFERROR(VLOOKUP(A362,EQUIPEMENTS!A:B,2,0),""))</f>
        <v/>
      </c>
      <c r="C362" s="84">
        <f>IF(A362="","",IFERROR(VLOOKUP(A362,EQUIPEMENTS!A:D,4,0),""))</f>
        <v/>
      </c>
      <c r="D362" s="84">
        <f>IF(A362="","",IFERROR(VLOOKUP(A362,EQUIPEMENTS!A:M,13,0),""))</f>
        <v/>
      </c>
      <c r="E362" s="84">
        <f>IF(A362="","",COUNTIFS(MAINT_PREV!B:B,A362,MAINT_PREV!G:G,"Planifiée",MAINT_PREV!E:E,"&lt;"&amp;TODAY(),MAINT_PREV!H:H,""))</f>
        <v/>
      </c>
      <c r="F362" s="84">
        <f>IF(A362="","",COUNTIFS(INTERVENTIONS!B:B,A362,INTERVENTIONS!L:L,"Ouverte"))</f>
        <v/>
      </c>
      <c r="G362" s="84">
        <f>IF(A362="","",COUNTIFS(COMPOSANTS!B:B,A362,COMPOSANTS!G:G,"Défectueux"))</f>
        <v/>
      </c>
      <c r="H362" s="84">
        <f>IF(A362="","",IFERROR(VLOOKUP(A362,EQUIPEMENTS!A:R,18,0),""))</f>
        <v/>
      </c>
      <c r="I362" s="84">
        <f>IF(A362="","",IF(AND(C362="Haute",D362="En panne"),"🔴 CRITIQUE",IF(OR(E362&gt;0,F362&gt;0,G362&gt;0),"🟠 ATTENTION","🟢 OK")))</f>
        <v/>
      </c>
      <c r="J362" s="84">
        <f>IF(A362="","",IFERROR(VLOOKUP(A362,EQUIPEMENTS!A:Q,17,0),""))</f>
        <v/>
      </c>
      <c r="K362" s="84" t="n"/>
    </row>
    <row r="363" ht="15" customHeight="1" s="59">
      <c r="A363" s="87">
        <f>IFERROR(EQUIPEMENTS!A363,"")</f>
        <v/>
      </c>
      <c r="B363" s="87">
        <f>IF(A363="","",IFERROR(VLOOKUP(A363,EQUIPEMENTS!A:B,2,0),""))</f>
        <v/>
      </c>
      <c r="C363" s="87">
        <f>IF(A363="","",IFERROR(VLOOKUP(A363,EQUIPEMENTS!A:D,4,0),""))</f>
        <v/>
      </c>
      <c r="D363" s="87">
        <f>IF(A363="","",IFERROR(VLOOKUP(A363,EQUIPEMENTS!A:M,13,0),""))</f>
        <v/>
      </c>
      <c r="E363" s="87">
        <f>IF(A363="","",COUNTIFS(MAINT_PREV!B:B,A363,MAINT_PREV!G:G,"Planifiée",MAINT_PREV!E:E,"&lt;"&amp;TODAY(),MAINT_PREV!H:H,""))</f>
        <v/>
      </c>
      <c r="F363" s="87">
        <f>IF(A363="","",COUNTIFS(INTERVENTIONS!B:B,A363,INTERVENTIONS!L:L,"Ouverte"))</f>
        <v/>
      </c>
      <c r="G363" s="87">
        <f>IF(A363="","",COUNTIFS(COMPOSANTS!B:B,A363,COMPOSANTS!G:G,"Défectueux"))</f>
        <v/>
      </c>
      <c r="H363" s="87">
        <f>IF(A363="","",IFERROR(VLOOKUP(A363,EQUIPEMENTS!A:R,18,0),""))</f>
        <v/>
      </c>
      <c r="I363" s="87">
        <f>IF(A363="","",IF(AND(C363="Haute",D363="En panne"),"🔴 CRITIQUE",IF(OR(E363&gt;0,F363&gt;0,G363&gt;0),"🟠 ATTENTION","🟢 OK")))</f>
        <v/>
      </c>
      <c r="J363" s="87">
        <f>IF(A363="","",IFERROR(VLOOKUP(A363,EQUIPEMENTS!A:Q,17,0),""))</f>
        <v/>
      </c>
      <c r="K363" s="87" t="n"/>
    </row>
    <row r="364" ht="15" customHeight="1" s="59">
      <c r="A364" s="84">
        <f>IFERROR(EQUIPEMENTS!A364,"")</f>
        <v/>
      </c>
      <c r="B364" s="84">
        <f>IF(A364="","",IFERROR(VLOOKUP(A364,EQUIPEMENTS!A:B,2,0),""))</f>
        <v/>
      </c>
      <c r="C364" s="84">
        <f>IF(A364="","",IFERROR(VLOOKUP(A364,EQUIPEMENTS!A:D,4,0),""))</f>
        <v/>
      </c>
      <c r="D364" s="84">
        <f>IF(A364="","",IFERROR(VLOOKUP(A364,EQUIPEMENTS!A:M,13,0),""))</f>
        <v/>
      </c>
      <c r="E364" s="84">
        <f>IF(A364="","",COUNTIFS(MAINT_PREV!B:B,A364,MAINT_PREV!G:G,"Planifiée",MAINT_PREV!E:E,"&lt;"&amp;TODAY(),MAINT_PREV!H:H,""))</f>
        <v/>
      </c>
      <c r="F364" s="84">
        <f>IF(A364="","",COUNTIFS(INTERVENTIONS!B:B,A364,INTERVENTIONS!L:L,"Ouverte"))</f>
        <v/>
      </c>
      <c r="G364" s="84">
        <f>IF(A364="","",COUNTIFS(COMPOSANTS!B:B,A364,COMPOSANTS!G:G,"Défectueux"))</f>
        <v/>
      </c>
      <c r="H364" s="84">
        <f>IF(A364="","",IFERROR(VLOOKUP(A364,EQUIPEMENTS!A:R,18,0),""))</f>
        <v/>
      </c>
      <c r="I364" s="84">
        <f>IF(A364="","",IF(AND(C364="Haute",D364="En panne"),"🔴 CRITIQUE",IF(OR(E364&gt;0,F364&gt;0,G364&gt;0),"🟠 ATTENTION","🟢 OK")))</f>
        <v/>
      </c>
      <c r="J364" s="84">
        <f>IF(A364="","",IFERROR(VLOOKUP(A364,EQUIPEMENTS!A:Q,17,0),""))</f>
        <v/>
      </c>
      <c r="K364" s="84" t="n"/>
    </row>
    <row r="365" ht="15" customHeight="1" s="59">
      <c r="A365" s="87">
        <f>IFERROR(EQUIPEMENTS!A365,"")</f>
        <v/>
      </c>
      <c r="B365" s="87">
        <f>IF(A365="","",IFERROR(VLOOKUP(A365,EQUIPEMENTS!A:B,2,0),""))</f>
        <v/>
      </c>
      <c r="C365" s="87">
        <f>IF(A365="","",IFERROR(VLOOKUP(A365,EQUIPEMENTS!A:D,4,0),""))</f>
        <v/>
      </c>
      <c r="D365" s="87">
        <f>IF(A365="","",IFERROR(VLOOKUP(A365,EQUIPEMENTS!A:M,13,0),""))</f>
        <v/>
      </c>
      <c r="E365" s="87">
        <f>IF(A365="","",COUNTIFS(MAINT_PREV!B:B,A365,MAINT_PREV!G:G,"Planifiée",MAINT_PREV!E:E,"&lt;"&amp;TODAY(),MAINT_PREV!H:H,""))</f>
        <v/>
      </c>
      <c r="F365" s="87">
        <f>IF(A365="","",COUNTIFS(INTERVENTIONS!B:B,A365,INTERVENTIONS!L:L,"Ouverte"))</f>
        <v/>
      </c>
      <c r="G365" s="87">
        <f>IF(A365="","",COUNTIFS(COMPOSANTS!B:B,A365,COMPOSANTS!G:G,"Défectueux"))</f>
        <v/>
      </c>
      <c r="H365" s="87">
        <f>IF(A365="","",IFERROR(VLOOKUP(A365,EQUIPEMENTS!A:R,18,0),""))</f>
        <v/>
      </c>
      <c r="I365" s="87">
        <f>IF(A365="","",IF(AND(C365="Haute",D365="En panne"),"🔴 CRITIQUE",IF(OR(E365&gt;0,F365&gt;0,G365&gt;0),"🟠 ATTENTION","🟢 OK")))</f>
        <v/>
      </c>
      <c r="J365" s="87">
        <f>IF(A365="","",IFERROR(VLOOKUP(A365,EQUIPEMENTS!A:Q,17,0),""))</f>
        <v/>
      </c>
      <c r="K365" s="87" t="n"/>
    </row>
    <row r="366" ht="15" customHeight="1" s="59">
      <c r="A366" s="84">
        <f>IFERROR(EQUIPEMENTS!A366,"")</f>
        <v/>
      </c>
      <c r="B366" s="84">
        <f>IF(A366="","",IFERROR(VLOOKUP(A366,EQUIPEMENTS!A:B,2,0),""))</f>
        <v/>
      </c>
      <c r="C366" s="84">
        <f>IF(A366="","",IFERROR(VLOOKUP(A366,EQUIPEMENTS!A:D,4,0),""))</f>
        <v/>
      </c>
      <c r="D366" s="84">
        <f>IF(A366="","",IFERROR(VLOOKUP(A366,EQUIPEMENTS!A:M,13,0),""))</f>
        <v/>
      </c>
      <c r="E366" s="84">
        <f>IF(A366="","",COUNTIFS(MAINT_PREV!B:B,A366,MAINT_PREV!G:G,"Planifiée",MAINT_PREV!E:E,"&lt;"&amp;TODAY(),MAINT_PREV!H:H,""))</f>
        <v/>
      </c>
      <c r="F366" s="84">
        <f>IF(A366="","",COUNTIFS(INTERVENTIONS!B:B,A366,INTERVENTIONS!L:L,"Ouverte"))</f>
        <v/>
      </c>
      <c r="G366" s="84">
        <f>IF(A366="","",COUNTIFS(COMPOSANTS!B:B,A366,COMPOSANTS!G:G,"Défectueux"))</f>
        <v/>
      </c>
      <c r="H366" s="84">
        <f>IF(A366="","",IFERROR(VLOOKUP(A366,EQUIPEMENTS!A:R,18,0),""))</f>
        <v/>
      </c>
      <c r="I366" s="84">
        <f>IF(A366="","",IF(AND(C366="Haute",D366="En panne"),"🔴 CRITIQUE",IF(OR(E366&gt;0,F366&gt;0,G366&gt;0),"🟠 ATTENTION","🟢 OK")))</f>
        <v/>
      </c>
      <c r="J366" s="84">
        <f>IF(A366="","",IFERROR(VLOOKUP(A366,EQUIPEMENTS!A:Q,17,0),""))</f>
        <v/>
      </c>
      <c r="K366" s="84" t="n"/>
    </row>
    <row r="367" ht="15" customHeight="1" s="59">
      <c r="A367" s="87">
        <f>IFERROR(EQUIPEMENTS!A367,"")</f>
        <v/>
      </c>
      <c r="B367" s="87">
        <f>IF(A367="","",IFERROR(VLOOKUP(A367,EQUIPEMENTS!A:B,2,0),""))</f>
        <v/>
      </c>
      <c r="C367" s="87">
        <f>IF(A367="","",IFERROR(VLOOKUP(A367,EQUIPEMENTS!A:D,4,0),""))</f>
        <v/>
      </c>
      <c r="D367" s="87">
        <f>IF(A367="","",IFERROR(VLOOKUP(A367,EQUIPEMENTS!A:M,13,0),""))</f>
        <v/>
      </c>
      <c r="E367" s="87">
        <f>IF(A367="","",COUNTIFS(MAINT_PREV!B:B,A367,MAINT_PREV!G:G,"Planifiée",MAINT_PREV!E:E,"&lt;"&amp;TODAY(),MAINT_PREV!H:H,""))</f>
        <v/>
      </c>
      <c r="F367" s="87">
        <f>IF(A367="","",COUNTIFS(INTERVENTIONS!B:B,A367,INTERVENTIONS!L:L,"Ouverte"))</f>
        <v/>
      </c>
      <c r="G367" s="87">
        <f>IF(A367="","",COUNTIFS(COMPOSANTS!B:B,A367,COMPOSANTS!G:G,"Défectueux"))</f>
        <v/>
      </c>
      <c r="H367" s="87">
        <f>IF(A367="","",IFERROR(VLOOKUP(A367,EQUIPEMENTS!A:R,18,0),""))</f>
        <v/>
      </c>
      <c r="I367" s="87">
        <f>IF(A367="","",IF(AND(C367="Haute",D367="En panne"),"🔴 CRITIQUE",IF(OR(E367&gt;0,F367&gt;0,G367&gt;0),"🟠 ATTENTION","🟢 OK")))</f>
        <v/>
      </c>
      <c r="J367" s="87">
        <f>IF(A367="","",IFERROR(VLOOKUP(A367,EQUIPEMENTS!A:Q,17,0),""))</f>
        <v/>
      </c>
      <c r="K367" s="87" t="n"/>
    </row>
    <row r="368" ht="15" customHeight="1" s="59">
      <c r="A368" s="84">
        <f>IFERROR(EQUIPEMENTS!A368,"")</f>
        <v/>
      </c>
      <c r="B368" s="84">
        <f>IF(A368="","",IFERROR(VLOOKUP(A368,EQUIPEMENTS!A:B,2,0),""))</f>
        <v/>
      </c>
      <c r="C368" s="84">
        <f>IF(A368="","",IFERROR(VLOOKUP(A368,EQUIPEMENTS!A:D,4,0),""))</f>
        <v/>
      </c>
      <c r="D368" s="84">
        <f>IF(A368="","",IFERROR(VLOOKUP(A368,EQUIPEMENTS!A:M,13,0),""))</f>
        <v/>
      </c>
      <c r="E368" s="84">
        <f>IF(A368="","",COUNTIFS(MAINT_PREV!B:B,A368,MAINT_PREV!G:G,"Planifiée",MAINT_PREV!E:E,"&lt;"&amp;TODAY(),MAINT_PREV!H:H,""))</f>
        <v/>
      </c>
      <c r="F368" s="84">
        <f>IF(A368="","",COUNTIFS(INTERVENTIONS!B:B,A368,INTERVENTIONS!L:L,"Ouverte"))</f>
        <v/>
      </c>
      <c r="G368" s="84">
        <f>IF(A368="","",COUNTIFS(COMPOSANTS!B:B,A368,COMPOSANTS!G:G,"Défectueux"))</f>
        <v/>
      </c>
      <c r="H368" s="84">
        <f>IF(A368="","",IFERROR(VLOOKUP(A368,EQUIPEMENTS!A:R,18,0),""))</f>
        <v/>
      </c>
      <c r="I368" s="84">
        <f>IF(A368="","",IF(AND(C368="Haute",D368="En panne"),"🔴 CRITIQUE",IF(OR(E368&gt;0,F368&gt;0,G368&gt;0),"🟠 ATTENTION","🟢 OK")))</f>
        <v/>
      </c>
      <c r="J368" s="84">
        <f>IF(A368="","",IFERROR(VLOOKUP(A368,EQUIPEMENTS!A:Q,17,0),""))</f>
        <v/>
      </c>
      <c r="K368" s="84" t="n"/>
    </row>
    <row r="369" ht="15" customHeight="1" s="59">
      <c r="A369" s="87">
        <f>IFERROR(EQUIPEMENTS!A369,"")</f>
        <v/>
      </c>
      <c r="B369" s="87">
        <f>IF(A369="","",IFERROR(VLOOKUP(A369,EQUIPEMENTS!A:B,2,0),""))</f>
        <v/>
      </c>
      <c r="C369" s="87">
        <f>IF(A369="","",IFERROR(VLOOKUP(A369,EQUIPEMENTS!A:D,4,0),""))</f>
        <v/>
      </c>
      <c r="D369" s="87">
        <f>IF(A369="","",IFERROR(VLOOKUP(A369,EQUIPEMENTS!A:M,13,0),""))</f>
        <v/>
      </c>
      <c r="E369" s="87">
        <f>IF(A369="","",COUNTIFS(MAINT_PREV!B:B,A369,MAINT_PREV!G:G,"Planifiée",MAINT_PREV!E:E,"&lt;"&amp;TODAY(),MAINT_PREV!H:H,""))</f>
        <v/>
      </c>
      <c r="F369" s="87">
        <f>IF(A369="","",COUNTIFS(INTERVENTIONS!B:B,A369,INTERVENTIONS!L:L,"Ouverte"))</f>
        <v/>
      </c>
      <c r="G369" s="87">
        <f>IF(A369="","",COUNTIFS(COMPOSANTS!B:B,A369,COMPOSANTS!G:G,"Défectueux"))</f>
        <v/>
      </c>
      <c r="H369" s="87">
        <f>IF(A369="","",IFERROR(VLOOKUP(A369,EQUIPEMENTS!A:R,18,0),""))</f>
        <v/>
      </c>
      <c r="I369" s="87">
        <f>IF(A369="","",IF(AND(C369="Haute",D369="En panne"),"🔴 CRITIQUE",IF(OR(E369&gt;0,F369&gt;0,G369&gt;0),"🟠 ATTENTION","🟢 OK")))</f>
        <v/>
      </c>
      <c r="J369" s="87">
        <f>IF(A369="","",IFERROR(VLOOKUP(A369,EQUIPEMENTS!A:Q,17,0),""))</f>
        <v/>
      </c>
      <c r="K369" s="87" t="n"/>
    </row>
    <row r="370" ht="15" customHeight="1" s="59">
      <c r="A370" s="84">
        <f>IFERROR(EQUIPEMENTS!A370,"")</f>
        <v/>
      </c>
      <c r="B370" s="84">
        <f>IF(A370="","",IFERROR(VLOOKUP(A370,EQUIPEMENTS!A:B,2,0),""))</f>
        <v/>
      </c>
      <c r="C370" s="84">
        <f>IF(A370="","",IFERROR(VLOOKUP(A370,EQUIPEMENTS!A:D,4,0),""))</f>
        <v/>
      </c>
      <c r="D370" s="84">
        <f>IF(A370="","",IFERROR(VLOOKUP(A370,EQUIPEMENTS!A:M,13,0),""))</f>
        <v/>
      </c>
      <c r="E370" s="84">
        <f>IF(A370="","",COUNTIFS(MAINT_PREV!B:B,A370,MAINT_PREV!G:G,"Planifiée",MAINT_PREV!E:E,"&lt;"&amp;TODAY(),MAINT_PREV!H:H,""))</f>
        <v/>
      </c>
      <c r="F370" s="84">
        <f>IF(A370="","",COUNTIFS(INTERVENTIONS!B:B,A370,INTERVENTIONS!L:L,"Ouverte"))</f>
        <v/>
      </c>
      <c r="G370" s="84">
        <f>IF(A370="","",COUNTIFS(COMPOSANTS!B:B,A370,COMPOSANTS!G:G,"Défectueux"))</f>
        <v/>
      </c>
      <c r="H370" s="84">
        <f>IF(A370="","",IFERROR(VLOOKUP(A370,EQUIPEMENTS!A:R,18,0),""))</f>
        <v/>
      </c>
      <c r="I370" s="84">
        <f>IF(A370="","",IF(AND(C370="Haute",D370="En panne"),"🔴 CRITIQUE",IF(OR(E370&gt;0,F370&gt;0,G370&gt;0),"🟠 ATTENTION","🟢 OK")))</f>
        <v/>
      </c>
      <c r="J370" s="84">
        <f>IF(A370="","",IFERROR(VLOOKUP(A370,EQUIPEMENTS!A:Q,17,0),""))</f>
        <v/>
      </c>
      <c r="K370" s="84" t="n"/>
    </row>
    <row r="371" ht="15" customHeight="1" s="59">
      <c r="A371" s="87">
        <f>IFERROR(EQUIPEMENTS!A371,"")</f>
        <v/>
      </c>
      <c r="B371" s="87">
        <f>IF(A371="","",IFERROR(VLOOKUP(A371,EQUIPEMENTS!A:B,2,0),""))</f>
        <v/>
      </c>
      <c r="C371" s="87">
        <f>IF(A371="","",IFERROR(VLOOKUP(A371,EQUIPEMENTS!A:D,4,0),""))</f>
        <v/>
      </c>
      <c r="D371" s="87">
        <f>IF(A371="","",IFERROR(VLOOKUP(A371,EQUIPEMENTS!A:M,13,0),""))</f>
        <v/>
      </c>
      <c r="E371" s="87">
        <f>IF(A371="","",COUNTIFS(MAINT_PREV!B:B,A371,MAINT_PREV!G:G,"Planifiée",MAINT_PREV!E:E,"&lt;"&amp;TODAY(),MAINT_PREV!H:H,""))</f>
        <v/>
      </c>
      <c r="F371" s="87">
        <f>IF(A371="","",COUNTIFS(INTERVENTIONS!B:B,A371,INTERVENTIONS!L:L,"Ouverte"))</f>
        <v/>
      </c>
      <c r="G371" s="87">
        <f>IF(A371="","",COUNTIFS(COMPOSANTS!B:B,A371,COMPOSANTS!G:G,"Défectueux"))</f>
        <v/>
      </c>
      <c r="H371" s="87">
        <f>IF(A371="","",IFERROR(VLOOKUP(A371,EQUIPEMENTS!A:R,18,0),""))</f>
        <v/>
      </c>
      <c r="I371" s="87">
        <f>IF(A371="","",IF(AND(C371="Haute",D371="En panne"),"🔴 CRITIQUE",IF(OR(E371&gt;0,F371&gt;0,G371&gt;0),"🟠 ATTENTION","🟢 OK")))</f>
        <v/>
      </c>
      <c r="J371" s="87">
        <f>IF(A371="","",IFERROR(VLOOKUP(A371,EQUIPEMENTS!A:Q,17,0),""))</f>
        <v/>
      </c>
      <c r="K371" s="87" t="n"/>
    </row>
    <row r="372" ht="15" customHeight="1" s="59">
      <c r="A372" s="84">
        <f>IFERROR(EQUIPEMENTS!A372,"")</f>
        <v/>
      </c>
      <c r="B372" s="84">
        <f>IF(A372="","",IFERROR(VLOOKUP(A372,EQUIPEMENTS!A:B,2,0),""))</f>
        <v/>
      </c>
      <c r="C372" s="84">
        <f>IF(A372="","",IFERROR(VLOOKUP(A372,EQUIPEMENTS!A:D,4,0),""))</f>
        <v/>
      </c>
      <c r="D372" s="84">
        <f>IF(A372="","",IFERROR(VLOOKUP(A372,EQUIPEMENTS!A:M,13,0),""))</f>
        <v/>
      </c>
      <c r="E372" s="84">
        <f>IF(A372="","",COUNTIFS(MAINT_PREV!B:B,A372,MAINT_PREV!G:G,"Planifiée",MAINT_PREV!E:E,"&lt;"&amp;TODAY(),MAINT_PREV!H:H,""))</f>
        <v/>
      </c>
      <c r="F372" s="84">
        <f>IF(A372="","",COUNTIFS(INTERVENTIONS!B:B,A372,INTERVENTIONS!L:L,"Ouverte"))</f>
        <v/>
      </c>
      <c r="G372" s="84">
        <f>IF(A372="","",COUNTIFS(COMPOSANTS!B:B,A372,COMPOSANTS!G:G,"Défectueux"))</f>
        <v/>
      </c>
      <c r="H372" s="84">
        <f>IF(A372="","",IFERROR(VLOOKUP(A372,EQUIPEMENTS!A:R,18,0),""))</f>
        <v/>
      </c>
      <c r="I372" s="84">
        <f>IF(A372="","",IF(AND(C372="Haute",D372="En panne"),"🔴 CRITIQUE",IF(OR(E372&gt;0,F372&gt;0,G372&gt;0),"🟠 ATTENTION","🟢 OK")))</f>
        <v/>
      </c>
      <c r="J372" s="84">
        <f>IF(A372="","",IFERROR(VLOOKUP(A372,EQUIPEMENTS!A:Q,17,0),""))</f>
        <v/>
      </c>
      <c r="K372" s="84" t="n"/>
    </row>
    <row r="373" ht="15" customHeight="1" s="59">
      <c r="A373" s="87">
        <f>IFERROR(EQUIPEMENTS!A373,"")</f>
        <v/>
      </c>
      <c r="B373" s="87">
        <f>IF(A373="","",IFERROR(VLOOKUP(A373,EQUIPEMENTS!A:B,2,0),""))</f>
        <v/>
      </c>
      <c r="C373" s="87">
        <f>IF(A373="","",IFERROR(VLOOKUP(A373,EQUIPEMENTS!A:D,4,0),""))</f>
        <v/>
      </c>
      <c r="D373" s="87">
        <f>IF(A373="","",IFERROR(VLOOKUP(A373,EQUIPEMENTS!A:M,13,0),""))</f>
        <v/>
      </c>
      <c r="E373" s="87">
        <f>IF(A373="","",COUNTIFS(MAINT_PREV!B:B,A373,MAINT_PREV!G:G,"Planifiée",MAINT_PREV!E:E,"&lt;"&amp;TODAY(),MAINT_PREV!H:H,""))</f>
        <v/>
      </c>
      <c r="F373" s="87">
        <f>IF(A373="","",COUNTIFS(INTERVENTIONS!B:B,A373,INTERVENTIONS!L:L,"Ouverte"))</f>
        <v/>
      </c>
      <c r="G373" s="87">
        <f>IF(A373="","",COUNTIFS(COMPOSANTS!B:B,A373,COMPOSANTS!G:G,"Défectueux"))</f>
        <v/>
      </c>
      <c r="H373" s="87">
        <f>IF(A373="","",IFERROR(VLOOKUP(A373,EQUIPEMENTS!A:R,18,0),""))</f>
        <v/>
      </c>
      <c r="I373" s="87">
        <f>IF(A373="","",IF(AND(C373="Haute",D373="En panne"),"🔴 CRITIQUE",IF(OR(E373&gt;0,F373&gt;0,G373&gt;0),"🟠 ATTENTION","🟢 OK")))</f>
        <v/>
      </c>
      <c r="J373" s="87">
        <f>IF(A373="","",IFERROR(VLOOKUP(A373,EQUIPEMENTS!A:Q,17,0),""))</f>
        <v/>
      </c>
      <c r="K373" s="87" t="n"/>
    </row>
    <row r="374" ht="15" customHeight="1" s="59">
      <c r="A374" s="84">
        <f>IFERROR(EQUIPEMENTS!A374,"")</f>
        <v/>
      </c>
      <c r="B374" s="84">
        <f>IF(A374="","",IFERROR(VLOOKUP(A374,EQUIPEMENTS!A:B,2,0),""))</f>
        <v/>
      </c>
      <c r="C374" s="84">
        <f>IF(A374="","",IFERROR(VLOOKUP(A374,EQUIPEMENTS!A:D,4,0),""))</f>
        <v/>
      </c>
      <c r="D374" s="84">
        <f>IF(A374="","",IFERROR(VLOOKUP(A374,EQUIPEMENTS!A:M,13,0),""))</f>
        <v/>
      </c>
      <c r="E374" s="84">
        <f>IF(A374="","",COUNTIFS(MAINT_PREV!B:B,A374,MAINT_PREV!G:G,"Planifiée",MAINT_PREV!E:E,"&lt;"&amp;TODAY(),MAINT_PREV!H:H,""))</f>
        <v/>
      </c>
      <c r="F374" s="84">
        <f>IF(A374="","",COUNTIFS(INTERVENTIONS!B:B,A374,INTERVENTIONS!L:L,"Ouverte"))</f>
        <v/>
      </c>
      <c r="G374" s="84">
        <f>IF(A374="","",COUNTIFS(COMPOSANTS!B:B,A374,COMPOSANTS!G:G,"Défectueux"))</f>
        <v/>
      </c>
      <c r="H374" s="84">
        <f>IF(A374="","",IFERROR(VLOOKUP(A374,EQUIPEMENTS!A:R,18,0),""))</f>
        <v/>
      </c>
      <c r="I374" s="84">
        <f>IF(A374="","",IF(AND(C374="Haute",D374="En panne"),"🔴 CRITIQUE",IF(OR(E374&gt;0,F374&gt;0,G374&gt;0),"🟠 ATTENTION","🟢 OK")))</f>
        <v/>
      </c>
      <c r="J374" s="84">
        <f>IF(A374="","",IFERROR(VLOOKUP(A374,EQUIPEMENTS!A:Q,17,0),""))</f>
        <v/>
      </c>
      <c r="K374" s="84" t="n"/>
    </row>
    <row r="375" ht="15" customHeight="1" s="59">
      <c r="A375" s="87">
        <f>IFERROR(EQUIPEMENTS!A375,"")</f>
        <v/>
      </c>
      <c r="B375" s="87">
        <f>IF(A375="","",IFERROR(VLOOKUP(A375,EQUIPEMENTS!A:B,2,0),""))</f>
        <v/>
      </c>
      <c r="C375" s="87">
        <f>IF(A375="","",IFERROR(VLOOKUP(A375,EQUIPEMENTS!A:D,4,0),""))</f>
        <v/>
      </c>
      <c r="D375" s="87">
        <f>IF(A375="","",IFERROR(VLOOKUP(A375,EQUIPEMENTS!A:M,13,0),""))</f>
        <v/>
      </c>
      <c r="E375" s="87">
        <f>IF(A375="","",COUNTIFS(MAINT_PREV!B:B,A375,MAINT_PREV!G:G,"Planifiée",MAINT_PREV!E:E,"&lt;"&amp;TODAY(),MAINT_PREV!H:H,""))</f>
        <v/>
      </c>
      <c r="F375" s="87">
        <f>IF(A375="","",COUNTIFS(INTERVENTIONS!B:B,A375,INTERVENTIONS!L:L,"Ouverte"))</f>
        <v/>
      </c>
      <c r="G375" s="87">
        <f>IF(A375="","",COUNTIFS(COMPOSANTS!B:B,A375,COMPOSANTS!G:G,"Défectueux"))</f>
        <v/>
      </c>
      <c r="H375" s="87">
        <f>IF(A375="","",IFERROR(VLOOKUP(A375,EQUIPEMENTS!A:R,18,0),""))</f>
        <v/>
      </c>
      <c r="I375" s="87">
        <f>IF(A375="","",IF(AND(C375="Haute",D375="En panne"),"🔴 CRITIQUE",IF(OR(E375&gt;0,F375&gt;0,G375&gt;0),"🟠 ATTENTION","🟢 OK")))</f>
        <v/>
      </c>
      <c r="J375" s="87">
        <f>IF(A375="","",IFERROR(VLOOKUP(A375,EQUIPEMENTS!A:Q,17,0),""))</f>
        <v/>
      </c>
      <c r="K375" s="87" t="n"/>
    </row>
    <row r="376" ht="15" customHeight="1" s="59">
      <c r="A376" s="84">
        <f>IFERROR(EQUIPEMENTS!A376,"")</f>
        <v/>
      </c>
      <c r="B376" s="84">
        <f>IF(A376="","",IFERROR(VLOOKUP(A376,EQUIPEMENTS!A:B,2,0),""))</f>
        <v/>
      </c>
      <c r="C376" s="84">
        <f>IF(A376="","",IFERROR(VLOOKUP(A376,EQUIPEMENTS!A:D,4,0),""))</f>
        <v/>
      </c>
      <c r="D376" s="84">
        <f>IF(A376="","",IFERROR(VLOOKUP(A376,EQUIPEMENTS!A:M,13,0),""))</f>
        <v/>
      </c>
      <c r="E376" s="84">
        <f>IF(A376="","",COUNTIFS(MAINT_PREV!B:B,A376,MAINT_PREV!G:G,"Planifiée",MAINT_PREV!E:E,"&lt;"&amp;TODAY(),MAINT_PREV!H:H,""))</f>
        <v/>
      </c>
      <c r="F376" s="84">
        <f>IF(A376="","",COUNTIFS(INTERVENTIONS!B:B,A376,INTERVENTIONS!L:L,"Ouverte"))</f>
        <v/>
      </c>
      <c r="G376" s="84">
        <f>IF(A376="","",COUNTIFS(COMPOSANTS!B:B,A376,COMPOSANTS!G:G,"Défectueux"))</f>
        <v/>
      </c>
      <c r="H376" s="84">
        <f>IF(A376="","",IFERROR(VLOOKUP(A376,EQUIPEMENTS!A:R,18,0),""))</f>
        <v/>
      </c>
      <c r="I376" s="84">
        <f>IF(A376="","",IF(AND(C376="Haute",D376="En panne"),"🔴 CRITIQUE",IF(OR(E376&gt;0,F376&gt;0,G376&gt;0),"🟠 ATTENTION","🟢 OK")))</f>
        <v/>
      </c>
      <c r="J376" s="84">
        <f>IF(A376="","",IFERROR(VLOOKUP(A376,EQUIPEMENTS!A:Q,17,0),""))</f>
        <v/>
      </c>
      <c r="K376" s="84" t="n"/>
    </row>
    <row r="377" ht="15" customHeight="1" s="59">
      <c r="A377" s="87">
        <f>IFERROR(EQUIPEMENTS!A377,"")</f>
        <v/>
      </c>
      <c r="B377" s="87">
        <f>IF(A377="","",IFERROR(VLOOKUP(A377,EQUIPEMENTS!A:B,2,0),""))</f>
        <v/>
      </c>
      <c r="C377" s="87">
        <f>IF(A377="","",IFERROR(VLOOKUP(A377,EQUIPEMENTS!A:D,4,0),""))</f>
        <v/>
      </c>
      <c r="D377" s="87">
        <f>IF(A377="","",IFERROR(VLOOKUP(A377,EQUIPEMENTS!A:M,13,0),""))</f>
        <v/>
      </c>
      <c r="E377" s="87">
        <f>IF(A377="","",COUNTIFS(MAINT_PREV!B:B,A377,MAINT_PREV!G:G,"Planifiée",MAINT_PREV!E:E,"&lt;"&amp;TODAY(),MAINT_PREV!H:H,""))</f>
        <v/>
      </c>
      <c r="F377" s="87">
        <f>IF(A377="","",COUNTIFS(INTERVENTIONS!B:B,A377,INTERVENTIONS!L:L,"Ouverte"))</f>
        <v/>
      </c>
      <c r="G377" s="87">
        <f>IF(A377="","",COUNTIFS(COMPOSANTS!B:B,A377,COMPOSANTS!G:G,"Défectueux"))</f>
        <v/>
      </c>
      <c r="H377" s="87">
        <f>IF(A377="","",IFERROR(VLOOKUP(A377,EQUIPEMENTS!A:R,18,0),""))</f>
        <v/>
      </c>
      <c r="I377" s="87">
        <f>IF(A377="","",IF(AND(C377="Haute",D377="En panne"),"🔴 CRITIQUE",IF(OR(E377&gt;0,F377&gt;0,G377&gt;0),"🟠 ATTENTION","🟢 OK")))</f>
        <v/>
      </c>
      <c r="J377" s="87">
        <f>IF(A377="","",IFERROR(VLOOKUP(A377,EQUIPEMENTS!A:Q,17,0),""))</f>
        <v/>
      </c>
      <c r="K377" s="87" t="n"/>
    </row>
    <row r="378" ht="15" customHeight="1" s="59">
      <c r="A378" s="84">
        <f>IFERROR(EQUIPEMENTS!A378,"")</f>
        <v/>
      </c>
      <c r="B378" s="84">
        <f>IF(A378="","",IFERROR(VLOOKUP(A378,EQUIPEMENTS!A:B,2,0),""))</f>
        <v/>
      </c>
      <c r="C378" s="84">
        <f>IF(A378="","",IFERROR(VLOOKUP(A378,EQUIPEMENTS!A:D,4,0),""))</f>
        <v/>
      </c>
      <c r="D378" s="84">
        <f>IF(A378="","",IFERROR(VLOOKUP(A378,EQUIPEMENTS!A:M,13,0),""))</f>
        <v/>
      </c>
      <c r="E378" s="84">
        <f>IF(A378="","",COUNTIFS(MAINT_PREV!B:B,A378,MAINT_PREV!G:G,"Planifiée",MAINT_PREV!E:E,"&lt;"&amp;TODAY(),MAINT_PREV!H:H,""))</f>
        <v/>
      </c>
      <c r="F378" s="84">
        <f>IF(A378="","",COUNTIFS(INTERVENTIONS!B:B,A378,INTERVENTIONS!L:L,"Ouverte"))</f>
        <v/>
      </c>
      <c r="G378" s="84">
        <f>IF(A378="","",COUNTIFS(COMPOSANTS!B:B,A378,COMPOSANTS!G:G,"Défectueux"))</f>
        <v/>
      </c>
      <c r="H378" s="84">
        <f>IF(A378="","",IFERROR(VLOOKUP(A378,EQUIPEMENTS!A:R,18,0),""))</f>
        <v/>
      </c>
      <c r="I378" s="84">
        <f>IF(A378="","",IF(AND(C378="Haute",D378="En panne"),"🔴 CRITIQUE",IF(OR(E378&gt;0,F378&gt;0,G378&gt;0),"🟠 ATTENTION","🟢 OK")))</f>
        <v/>
      </c>
      <c r="J378" s="84">
        <f>IF(A378="","",IFERROR(VLOOKUP(A378,EQUIPEMENTS!A:Q,17,0),""))</f>
        <v/>
      </c>
      <c r="K378" s="84" t="n"/>
    </row>
    <row r="379" ht="15" customHeight="1" s="59">
      <c r="A379" s="87">
        <f>IFERROR(EQUIPEMENTS!A379,"")</f>
        <v/>
      </c>
      <c r="B379" s="87">
        <f>IF(A379="","",IFERROR(VLOOKUP(A379,EQUIPEMENTS!A:B,2,0),""))</f>
        <v/>
      </c>
      <c r="C379" s="87">
        <f>IF(A379="","",IFERROR(VLOOKUP(A379,EQUIPEMENTS!A:D,4,0),""))</f>
        <v/>
      </c>
      <c r="D379" s="87">
        <f>IF(A379="","",IFERROR(VLOOKUP(A379,EQUIPEMENTS!A:M,13,0),""))</f>
        <v/>
      </c>
      <c r="E379" s="87">
        <f>IF(A379="","",COUNTIFS(MAINT_PREV!B:B,A379,MAINT_PREV!G:G,"Planifiée",MAINT_PREV!E:E,"&lt;"&amp;TODAY(),MAINT_PREV!H:H,""))</f>
        <v/>
      </c>
      <c r="F379" s="87">
        <f>IF(A379="","",COUNTIFS(INTERVENTIONS!B:B,A379,INTERVENTIONS!L:L,"Ouverte"))</f>
        <v/>
      </c>
      <c r="G379" s="87">
        <f>IF(A379="","",COUNTIFS(COMPOSANTS!B:B,A379,COMPOSANTS!G:G,"Défectueux"))</f>
        <v/>
      </c>
      <c r="H379" s="87">
        <f>IF(A379="","",IFERROR(VLOOKUP(A379,EQUIPEMENTS!A:R,18,0),""))</f>
        <v/>
      </c>
      <c r="I379" s="87">
        <f>IF(A379="","",IF(AND(C379="Haute",D379="En panne"),"🔴 CRITIQUE",IF(OR(E379&gt;0,F379&gt;0,G379&gt;0),"🟠 ATTENTION","🟢 OK")))</f>
        <v/>
      </c>
      <c r="J379" s="87">
        <f>IF(A379="","",IFERROR(VLOOKUP(A379,EQUIPEMENTS!A:Q,17,0),""))</f>
        <v/>
      </c>
      <c r="K379" s="87" t="n"/>
    </row>
    <row r="380" ht="15" customHeight="1" s="59">
      <c r="A380" s="84">
        <f>IFERROR(EQUIPEMENTS!A380,"")</f>
        <v/>
      </c>
      <c r="B380" s="84">
        <f>IF(A380="","",IFERROR(VLOOKUP(A380,EQUIPEMENTS!A:B,2,0),""))</f>
        <v/>
      </c>
      <c r="C380" s="84">
        <f>IF(A380="","",IFERROR(VLOOKUP(A380,EQUIPEMENTS!A:D,4,0),""))</f>
        <v/>
      </c>
      <c r="D380" s="84">
        <f>IF(A380="","",IFERROR(VLOOKUP(A380,EQUIPEMENTS!A:M,13,0),""))</f>
        <v/>
      </c>
      <c r="E380" s="84">
        <f>IF(A380="","",COUNTIFS(MAINT_PREV!B:B,A380,MAINT_PREV!G:G,"Planifiée",MAINT_PREV!E:E,"&lt;"&amp;TODAY(),MAINT_PREV!H:H,""))</f>
        <v/>
      </c>
      <c r="F380" s="84">
        <f>IF(A380="","",COUNTIFS(INTERVENTIONS!B:B,A380,INTERVENTIONS!L:L,"Ouverte"))</f>
        <v/>
      </c>
      <c r="G380" s="84">
        <f>IF(A380="","",COUNTIFS(COMPOSANTS!B:B,A380,COMPOSANTS!G:G,"Défectueux"))</f>
        <v/>
      </c>
      <c r="H380" s="84">
        <f>IF(A380="","",IFERROR(VLOOKUP(A380,EQUIPEMENTS!A:R,18,0),""))</f>
        <v/>
      </c>
      <c r="I380" s="84">
        <f>IF(A380="","",IF(AND(C380="Haute",D380="En panne"),"🔴 CRITIQUE",IF(OR(E380&gt;0,F380&gt;0,G380&gt;0),"🟠 ATTENTION","🟢 OK")))</f>
        <v/>
      </c>
      <c r="J380" s="84">
        <f>IF(A380="","",IFERROR(VLOOKUP(A380,EQUIPEMENTS!A:Q,17,0),""))</f>
        <v/>
      </c>
      <c r="K380" s="84" t="n"/>
    </row>
    <row r="381" ht="15" customHeight="1" s="59">
      <c r="A381" s="87">
        <f>IFERROR(EQUIPEMENTS!A381,"")</f>
        <v/>
      </c>
      <c r="B381" s="87">
        <f>IF(A381="","",IFERROR(VLOOKUP(A381,EQUIPEMENTS!A:B,2,0),""))</f>
        <v/>
      </c>
      <c r="C381" s="87">
        <f>IF(A381="","",IFERROR(VLOOKUP(A381,EQUIPEMENTS!A:D,4,0),""))</f>
        <v/>
      </c>
      <c r="D381" s="87">
        <f>IF(A381="","",IFERROR(VLOOKUP(A381,EQUIPEMENTS!A:M,13,0),""))</f>
        <v/>
      </c>
      <c r="E381" s="87">
        <f>IF(A381="","",COUNTIFS(MAINT_PREV!B:B,A381,MAINT_PREV!G:G,"Planifiée",MAINT_PREV!E:E,"&lt;"&amp;TODAY(),MAINT_PREV!H:H,""))</f>
        <v/>
      </c>
      <c r="F381" s="87">
        <f>IF(A381="","",COUNTIFS(INTERVENTIONS!B:B,A381,INTERVENTIONS!L:L,"Ouverte"))</f>
        <v/>
      </c>
      <c r="G381" s="87">
        <f>IF(A381="","",COUNTIFS(COMPOSANTS!B:B,A381,COMPOSANTS!G:G,"Défectueux"))</f>
        <v/>
      </c>
      <c r="H381" s="87">
        <f>IF(A381="","",IFERROR(VLOOKUP(A381,EQUIPEMENTS!A:R,18,0),""))</f>
        <v/>
      </c>
      <c r="I381" s="87">
        <f>IF(A381="","",IF(AND(C381="Haute",D381="En panne"),"🔴 CRITIQUE",IF(OR(E381&gt;0,F381&gt;0,G381&gt;0),"🟠 ATTENTION","🟢 OK")))</f>
        <v/>
      </c>
      <c r="J381" s="87">
        <f>IF(A381="","",IFERROR(VLOOKUP(A381,EQUIPEMENTS!A:Q,17,0),""))</f>
        <v/>
      </c>
      <c r="K381" s="87" t="n"/>
    </row>
    <row r="382" ht="15" customHeight="1" s="59">
      <c r="A382" s="84">
        <f>IFERROR(EQUIPEMENTS!A382,"")</f>
        <v/>
      </c>
      <c r="B382" s="84">
        <f>IF(A382="","",IFERROR(VLOOKUP(A382,EQUIPEMENTS!A:B,2,0),""))</f>
        <v/>
      </c>
      <c r="C382" s="84">
        <f>IF(A382="","",IFERROR(VLOOKUP(A382,EQUIPEMENTS!A:D,4,0),""))</f>
        <v/>
      </c>
      <c r="D382" s="84">
        <f>IF(A382="","",IFERROR(VLOOKUP(A382,EQUIPEMENTS!A:M,13,0),""))</f>
        <v/>
      </c>
      <c r="E382" s="84">
        <f>IF(A382="","",COUNTIFS(MAINT_PREV!B:B,A382,MAINT_PREV!G:G,"Planifiée",MAINT_PREV!E:E,"&lt;"&amp;TODAY(),MAINT_PREV!H:H,""))</f>
        <v/>
      </c>
      <c r="F382" s="84">
        <f>IF(A382="","",COUNTIFS(INTERVENTIONS!B:B,A382,INTERVENTIONS!L:L,"Ouverte"))</f>
        <v/>
      </c>
      <c r="G382" s="84">
        <f>IF(A382="","",COUNTIFS(COMPOSANTS!B:B,A382,COMPOSANTS!G:G,"Défectueux"))</f>
        <v/>
      </c>
      <c r="H382" s="84">
        <f>IF(A382="","",IFERROR(VLOOKUP(A382,EQUIPEMENTS!A:R,18,0),""))</f>
        <v/>
      </c>
      <c r="I382" s="84">
        <f>IF(A382="","",IF(AND(C382="Haute",D382="En panne"),"🔴 CRITIQUE",IF(OR(E382&gt;0,F382&gt;0,G382&gt;0),"🟠 ATTENTION","🟢 OK")))</f>
        <v/>
      </c>
      <c r="J382" s="84">
        <f>IF(A382="","",IFERROR(VLOOKUP(A382,EQUIPEMENTS!A:Q,17,0),""))</f>
        <v/>
      </c>
      <c r="K382" s="84" t="n"/>
    </row>
    <row r="383" ht="15" customHeight="1" s="59">
      <c r="A383" s="87">
        <f>IFERROR(EQUIPEMENTS!A383,"")</f>
        <v/>
      </c>
      <c r="B383" s="87">
        <f>IF(A383="","",IFERROR(VLOOKUP(A383,EQUIPEMENTS!A:B,2,0),""))</f>
        <v/>
      </c>
      <c r="C383" s="87">
        <f>IF(A383="","",IFERROR(VLOOKUP(A383,EQUIPEMENTS!A:D,4,0),""))</f>
        <v/>
      </c>
      <c r="D383" s="87">
        <f>IF(A383="","",IFERROR(VLOOKUP(A383,EQUIPEMENTS!A:M,13,0),""))</f>
        <v/>
      </c>
      <c r="E383" s="87">
        <f>IF(A383="","",COUNTIFS(MAINT_PREV!B:B,A383,MAINT_PREV!G:G,"Planifiée",MAINT_PREV!E:E,"&lt;"&amp;TODAY(),MAINT_PREV!H:H,""))</f>
        <v/>
      </c>
      <c r="F383" s="87">
        <f>IF(A383="","",COUNTIFS(INTERVENTIONS!B:B,A383,INTERVENTIONS!L:L,"Ouverte"))</f>
        <v/>
      </c>
      <c r="G383" s="87">
        <f>IF(A383="","",COUNTIFS(COMPOSANTS!B:B,A383,COMPOSANTS!G:G,"Défectueux"))</f>
        <v/>
      </c>
      <c r="H383" s="87">
        <f>IF(A383="","",IFERROR(VLOOKUP(A383,EQUIPEMENTS!A:R,18,0),""))</f>
        <v/>
      </c>
      <c r="I383" s="87">
        <f>IF(A383="","",IF(AND(C383="Haute",D383="En panne"),"🔴 CRITIQUE",IF(OR(E383&gt;0,F383&gt;0,G383&gt;0),"🟠 ATTENTION","🟢 OK")))</f>
        <v/>
      </c>
      <c r="J383" s="87">
        <f>IF(A383="","",IFERROR(VLOOKUP(A383,EQUIPEMENTS!A:Q,17,0),""))</f>
        <v/>
      </c>
      <c r="K383" s="87" t="n"/>
    </row>
    <row r="384" ht="15" customHeight="1" s="59">
      <c r="A384" s="84">
        <f>IFERROR(EQUIPEMENTS!A384,"")</f>
        <v/>
      </c>
      <c r="B384" s="84">
        <f>IF(A384="","",IFERROR(VLOOKUP(A384,EQUIPEMENTS!A:B,2,0),""))</f>
        <v/>
      </c>
      <c r="C384" s="84">
        <f>IF(A384="","",IFERROR(VLOOKUP(A384,EQUIPEMENTS!A:D,4,0),""))</f>
        <v/>
      </c>
      <c r="D384" s="84">
        <f>IF(A384="","",IFERROR(VLOOKUP(A384,EQUIPEMENTS!A:M,13,0),""))</f>
        <v/>
      </c>
      <c r="E384" s="84">
        <f>IF(A384="","",COUNTIFS(MAINT_PREV!B:B,A384,MAINT_PREV!G:G,"Planifiée",MAINT_PREV!E:E,"&lt;"&amp;TODAY(),MAINT_PREV!H:H,""))</f>
        <v/>
      </c>
      <c r="F384" s="84">
        <f>IF(A384="","",COUNTIFS(INTERVENTIONS!B:B,A384,INTERVENTIONS!L:L,"Ouverte"))</f>
        <v/>
      </c>
      <c r="G384" s="84">
        <f>IF(A384="","",COUNTIFS(COMPOSANTS!B:B,A384,COMPOSANTS!G:G,"Défectueux"))</f>
        <v/>
      </c>
      <c r="H384" s="84">
        <f>IF(A384="","",IFERROR(VLOOKUP(A384,EQUIPEMENTS!A:R,18,0),""))</f>
        <v/>
      </c>
      <c r="I384" s="84">
        <f>IF(A384="","",IF(AND(C384="Haute",D384="En panne"),"🔴 CRITIQUE",IF(OR(E384&gt;0,F384&gt;0,G384&gt;0),"🟠 ATTENTION","🟢 OK")))</f>
        <v/>
      </c>
      <c r="J384" s="84">
        <f>IF(A384="","",IFERROR(VLOOKUP(A384,EQUIPEMENTS!A:Q,17,0),""))</f>
        <v/>
      </c>
      <c r="K384" s="84" t="n"/>
    </row>
    <row r="385" ht="15" customHeight="1" s="59">
      <c r="A385" s="87">
        <f>IFERROR(EQUIPEMENTS!A385,"")</f>
        <v/>
      </c>
      <c r="B385" s="87">
        <f>IF(A385="","",IFERROR(VLOOKUP(A385,EQUIPEMENTS!A:B,2,0),""))</f>
        <v/>
      </c>
      <c r="C385" s="87">
        <f>IF(A385="","",IFERROR(VLOOKUP(A385,EQUIPEMENTS!A:D,4,0),""))</f>
        <v/>
      </c>
      <c r="D385" s="87">
        <f>IF(A385="","",IFERROR(VLOOKUP(A385,EQUIPEMENTS!A:M,13,0),""))</f>
        <v/>
      </c>
      <c r="E385" s="87">
        <f>IF(A385="","",COUNTIFS(MAINT_PREV!B:B,A385,MAINT_PREV!G:G,"Planifiée",MAINT_PREV!E:E,"&lt;"&amp;TODAY(),MAINT_PREV!H:H,""))</f>
        <v/>
      </c>
      <c r="F385" s="87">
        <f>IF(A385="","",COUNTIFS(INTERVENTIONS!B:B,A385,INTERVENTIONS!L:L,"Ouverte"))</f>
        <v/>
      </c>
      <c r="G385" s="87">
        <f>IF(A385="","",COUNTIFS(COMPOSANTS!B:B,A385,COMPOSANTS!G:G,"Défectueux"))</f>
        <v/>
      </c>
      <c r="H385" s="87">
        <f>IF(A385="","",IFERROR(VLOOKUP(A385,EQUIPEMENTS!A:R,18,0),""))</f>
        <v/>
      </c>
      <c r="I385" s="87">
        <f>IF(A385="","",IF(AND(C385="Haute",D385="En panne"),"🔴 CRITIQUE",IF(OR(E385&gt;0,F385&gt;0,G385&gt;0),"🟠 ATTENTION","🟢 OK")))</f>
        <v/>
      </c>
      <c r="J385" s="87">
        <f>IF(A385="","",IFERROR(VLOOKUP(A385,EQUIPEMENTS!A:Q,17,0),""))</f>
        <v/>
      </c>
      <c r="K385" s="87" t="n"/>
    </row>
    <row r="386" ht="15" customHeight="1" s="59">
      <c r="A386" s="84">
        <f>IFERROR(EQUIPEMENTS!A386,"")</f>
        <v/>
      </c>
      <c r="B386" s="84">
        <f>IF(A386="","",IFERROR(VLOOKUP(A386,EQUIPEMENTS!A:B,2,0),""))</f>
        <v/>
      </c>
      <c r="C386" s="84">
        <f>IF(A386="","",IFERROR(VLOOKUP(A386,EQUIPEMENTS!A:D,4,0),""))</f>
        <v/>
      </c>
      <c r="D386" s="84">
        <f>IF(A386="","",IFERROR(VLOOKUP(A386,EQUIPEMENTS!A:M,13,0),""))</f>
        <v/>
      </c>
      <c r="E386" s="84">
        <f>IF(A386="","",COUNTIFS(MAINT_PREV!B:B,A386,MAINT_PREV!G:G,"Planifiée",MAINT_PREV!E:E,"&lt;"&amp;TODAY(),MAINT_PREV!H:H,""))</f>
        <v/>
      </c>
      <c r="F386" s="84">
        <f>IF(A386="","",COUNTIFS(INTERVENTIONS!B:B,A386,INTERVENTIONS!L:L,"Ouverte"))</f>
        <v/>
      </c>
      <c r="G386" s="84">
        <f>IF(A386="","",COUNTIFS(COMPOSANTS!B:B,A386,COMPOSANTS!G:G,"Défectueux"))</f>
        <v/>
      </c>
      <c r="H386" s="84">
        <f>IF(A386="","",IFERROR(VLOOKUP(A386,EQUIPEMENTS!A:R,18,0),""))</f>
        <v/>
      </c>
      <c r="I386" s="84">
        <f>IF(A386="","",IF(AND(C386="Haute",D386="En panne"),"🔴 CRITIQUE",IF(OR(E386&gt;0,F386&gt;0,G386&gt;0),"🟠 ATTENTION","🟢 OK")))</f>
        <v/>
      </c>
      <c r="J386" s="84">
        <f>IF(A386="","",IFERROR(VLOOKUP(A386,EQUIPEMENTS!A:Q,17,0),""))</f>
        <v/>
      </c>
      <c r="K386" s="84" t="n"/>
    </row>
    <row r="387" ht="15" customHeight="1" s="59">
      <c r="A387" s="87">
        <f>IFERROR(EQUIPEMENTS!A387,"")</f>
        <v/>
      </c>
      <c r="B387" s="87">
        <f>IF(A387="","",IFERROR(VLOOKUP(A387,EQUIPEMENTS!A:B,2,0),""))</f>
        <v/>
      </c>
      <c r="C387" s="87">
        <f>IF(A387="","",IFERROR(VLOOKUP(A387,EQUIPEMENTS!A:D,4,0),""))</f>
        <v/>
      </c>
      <c r="D387" s="87">
        <f>IF(A387="","",IFERROR(VLOOKUP(A387,EQUIPEMENTS!A:M,13,0),""))</f>
        <v/>
      </c>
      <c r="E387" s="87">
        <f>IF(A387="","",COUNTIFS(MAINT_PREV!B:B,A387,MAINT_PREV!G:G,"Planifiée",MAINT_PREV!E:E,"&lt;"&amp;TODAY(),MAINT_PREV!H:H,""))</f>
        <v/>
      </c>
      <c r="F387" s="87">
        <f>IF(A387="","",COUNTIFS(INTERVENTIONS!B:B,A387,INTERVENTIONS!L:L,"Ouverte"))</f>
        <v/>
      </c>
      <c r="G387" s="87">
        <f>IF(A387="","",COUNTIFS(COMPOSANTS!B:B,A387,COMPOSANTS!G:G,"Défectueux"))</f>
        <v/>
      </c>
      <c r="H387" s="87">
        <f>IF(A387="","",IFERROR(VLOOKUP(A387,EQUIPEMENTS!A:R,18,0),""))</f>
        <v/>
      </c>
      <c r="I387" s="87">
        <f>IF(A387="","",IF(AND(C387="Haute",D387="En panne"),"🔴 CRITIQUE",IF(OR(E387&gt;0,F387&gt;0,G387&gt;0),"🟠 ATTENTION","🟢 OK")))</f>
        <v/>
      </c>
      <c r="J387" s="87">
        <f>IF(A387="","",IFERROR(VLOOKUP(A387,EQUIPEMENTS!A:Q,17,0),""))</f>
        <v/>
      </c>
      <c r="K387" s="87" t="n"/>
    </row>
    <row r="388" ht="15" customHeight="1" s="59">
      <c r="A388" s="84">
        <f>IFERROR(EQUIPEMENTS!A388,"")</f>
        <v/>
      </c>
      <c r="B388" s="84">
        <f>IF(A388="","",IFERROR(VLOOKUP(A388,EQUIPEMENTS!A:B,2,0),""))</f>
        <v/>
      </c>
      <c r="C388" s="84">
        <f>IF(A388="","",IFERROR(VLOOKUP(A388,EQUIPEMENTS!A:D,4,0),""))</f>
        <v/>
      </c>
      <c r="D388" s="84">
        <f>IF(A388="","",IFERROR(VLOOKUP(A388,EQUIPEMENTS!A:M,13,0),""))</f>
        <v/>
      </c>
      <c r="E388" s="84">
        <f>IF(A388="","",COUNTIFS(MAINT_PREV!B:B,A388,MAINT_PREV!G:G,"Planifiée",MAINT_PREV!E:E,"&lt;"&amp;TODAY(),MAINT_PREV!H:H,""))</f>
        <v/>
      </c>
      <c r="F388" s="84">
        <f>IF(A388="","",COUNTIFS(INTERVENTIONS!B:B,A388,INTERVENTIONS!L:L,"Ouverte"))</f>
        <v/>
      </c>
      <c r="G388" s="84">
        <f>IF(A388="","",COUNTIFS(COMPOSANTS!B:B,A388,COMPOSANTS!G:G,"Défectueux"))</f>
        <v/>
      </c>
      <c r="H388" s="84">
        <f>IF(A388="","",IFERROR(VLOOKUP(A388,EQUIPEMENTS!A:R,18,0),""))</f>
        <v/>
      </c>
      <c r="I388" s="84">
        <f>IF(A388="","",IF(AND(C388="Haute",D388="En panne"),"🔴 CRITIQUE",IF(OR(E388&gt;0,F388&gt;0,G388&gt;0),"🟠 ATTENTION","🟢 OK")))</f>
        <v/>
      </c>
      <c r="J388" s="84">
        <f>IF(A388="","",IFERROR(VLOOKUP(A388,EQUIPEMENTS!A:Q,17,0),""))</f>
        <v/>
      </c>
      <c r="K388" s="84" t="n"/>
    </row>
    <row r="389" ht="15" customHeight="1" s="59">
      <c r="A389" s="87">
        <f>IFERROR(EQUIPEMENTS!A389,"")</f>
        <v/>
      </c>
      <c r="B389" s="87">
        <f>IF(A389="","",IFERROR(VLOOKUP(A389,EQUIPEMENTS!A:B,2,0),""))</f>
        <v/>
      </c>
      <c r="C389" s="87">
        <f>IF(A389="","",IFERROR(VLOOKUP(A389,EQUIPEMENTS!A:D,4,0),""))</f>
        <v/>
      </c>
      <c r="D389" s="87">
        <f>IF(A389="","",IFERROR(VLOOKUP(A389,EQUIPEMENTS!A:M,13,0),""))</f>
        <v/>
      </c>
      <c r="E389" s="87">
        <f>IF(A389="","",COUNTIFS(MAINT_PREV!B:B,A389,MAINT_PREV!G:G,"Planifiée",MAINT_PREV!E:E,"&lt;"&amp;TODAY(),MAINT_PREV!H:H,""))</f>
        <v/>
      </c>
      <c r="F389" s="87">
        <f>IF(A389="","",COUNTIFS(INTERVENTIONS!B:B,A389,INTERVENTIONS!L:L,"Ouverte"))</f>
        <v/>
      </c>
      <c r="G389" s="87">
        <f>IF(A389="","",COUNTIFS(COMPOSANTS!B:B,A389,COMPOSANTS!G:G,"Défectueux"))</f>
        <v/>
      </c>
      <c r="H389" s="87">
        <f>IF(A389="","",IFERROR(VLOOKUP(A389,EQUIPEMENTS!A:R,18,0),""))</f>
        <v/>
      </c>
      <c r="I389" s="87">
        <f>IF(A389="","",IF(AND(C389="Haute",D389="En panne"),"🔴 CRITIQUE",IF(OR(E389&gt;0,F389&gt;0,G389&gt;0),"🟠 ATTENTION","🟢 OK")))</f>
        <v/>
      </c>
      <c r="J389" s="87">
        <f>IF(A389="","",IFERROR(VLOOKUP(A389,EQUIPEMENTS!A:Q,17,0),""))</f>
        <v/>
      </c>
      <c r="K389" s="87" t="n"/>
    </row>
    <row r="390" ht="15" customHeight="1" s="59">
      <c r="A390" s="84">
        <f>IFERROR(EQUIPEMENTS!A390,"")</f>
        <v/>
      </c>
      <c r="B390" s="84">
        <f>IF(A390="","",IFERROR(VLOOKUP(A390,EQUIPEMENTS!A:B,2,0),""))</f>
        <v/>
      </c>
      <c r="C390" s="84">
        <f>IF(A390="","",IFERROR(VLOOKUP(A390,EQUIPEMENTS!A:D,4,0),""))</f>
        <v/>
      </c>
      <c r="D390" s="84">
        <f>IF(A390="","",IFERROR(VLOOKUP(A390,EQUIPEMENTS!A:M,13,0),""))</f>
        <v/>
      </c>
      <c r="E390" s="84">
        <f>IF(A390="","",COUNTIFS(MAINT_PREV!B:B,A390,MAINT_PREV!G:G,"Planifiée",MAINT_PREV!E:E,"&lt;"&amp;TODAY(),MAINT_PREV!H:H,""))</f>
        <v/>
      </c>
      <c r="F390" s="84">
        <f>IF(A390="","",COUNTIFS(INTERVENTIONS!B:B,A390,INTERVENTIONS!L:L,"Ouverte"))</f>
        <v/>
      </c>
      <c r="G390" s="84">
        <f>IF(A390="","",COUNTIFS(COMPOSANTS!B:B,A390,COMPOSANTS!G:G,"Défectueux"))</f>
        <v/>
      </c>
      <c r="H390" s="84">
        <f>IF(A390="","",IFERROR(VLOOKUP(A390,EQUIPEMENTS!A:R,18,0),""))</f>
        <v/>
      </c>
      <c r="I390" s="84">
        <f>IF(A390="","",IF(AND(C390="Haute",D390="En panne"),"🔴 CRITIQUE",IF(OR(E390&gt;0,F390&gt;0,G390&gt;0),"🟠 ATTENTION","🟢 OK")))</f>
        <v/>
      </c>
      <c r="J390" s="84">
        <f>IF(A390="","",IFERROR(VLOOKUP(A390,EQUIPEMENTS!A:Q,17,0),""))</f>
        <v/>
      </c>
      <c r="K390" s="84" t="n"/>
    </row>
    <row r="391" ht="15" customHeight="1" s="59">
      <c r="A391" s="87">
        <f>IFERROR(EQUIPEMENTS!A391,"")</f>
        <v/>
      </c>
      <c r="B391" s="87">
        <f>IF(A391="","",IFERROR(VLOOKUP(A391,EQUIPEMENTS!A:B,2,0),""))</f>
        <v/>
      </c>
      <c r="C391" s="87">
        <f>IF(A391="","",IFERROR(VLOOKUP(A391,EQUIPEMENTS!A:D,4,0),""))</f>
        <v/>
      </c>
      <c r="D391" s="87">
        <f>IF(A391="","",IFERROR(VLOOKUP(A391,EQUIPEMENTS!A:M,13,0),""))</f>
        <v/>
      </c>
      <c r="E391" s="87">
        <f>IF(A391="","",COUNTIFS(MAINT_PREV!B:B,A391,MAINT_PREV!G:G,"Planifiée",MAINT_PREV!E:E,"&lt;"&amp;TODAY(),MAINT_PREV!H:H,""))</f>
        <v/>
      </c>
      <c r="F391" s="87">
        <f>IF(A391="","",COUNTIFS(INTERVENTIONS!B:B,A391,INTERVENTIONS!L:L,"Ouverte"))</f>
        <v/>
      </c>
      <c r="G391" s="87">
        <f>IF(A391="","",COUNTIFS(COMPOSANTS!B:B,A391,COMPOSANTS!G:G,"Défectueux"))</f>
        <v/>
      </c>
      <c r="H391" s="87">
        <f>IF(A391="","",IFERROR(VLOOKUP(A391,EQUIPEMENTS!A:R,18,0),""))</f>
        <v/>
      </c>
      <c r="I391" s="87">
        <f>IF(A391="","",IF(AND(C391="Haute",D391="En panne"),"🔴 CRITIQUE",IF(OR(E391&gt;0,F391&gt;0,G391&gt;0),"🟠 ATTENTION","🟢 OK")))</f>
        <v/>
      </c>
      <c r="J391" s="87">
        <f>IF(A391="","",IFERROR(VLOOKUP(A391,EQUIPEMENTS!A:Q,17,0),""))</f>
        <v/>
      </c>
      <c r="K391" s="87" t="n"/>
    </row>
    <row r="392" ht="15" customHeight="1" s="59">
      <c r="A392" s="84">
        <f>IFERROR(EQUIPEMENTS!A392,"")</f>
        <v/>
      </c>
      <c r="B392" s="84">
        <f>IF(A392="","",IFERROR(VLOOKUP(A392,EQUIPEMENTS!A:B,2,0),""))</f>
        <v/>
      </c>
      <c r="C392" s="84">
        <f>IF(A392="","",IFERROR(VLOOKUP(A392,EQUIPEMENTS!A:D,4,0),""))</f>
        <v/>
      </c>
      <c r="D392" s="84">
        <f>IF(A392="","",IFERROR(VLOOKUP(A392,EQUIPEMENTS!A:M,13,0),""))</f>
        <v/>
      </c>
      <c r="E392" s="84">
        <f>IF(A392="","",COUNTIFS(MAINT_PREV!B:B,A392,MAINT_PREV!G:G,"Planifiée",MAINT_PREV!E:E,"&lt;"&amp;TODAY(),MAINT_PREV!H:H,""))</f>
        <v/>
      </c>
      <c r="F392" s="84">
        <f>IF(A392="","",COUNTIFS(INTERVENTIONS!B:B,A392,INTERVENTIONS!L:L,"Ouverte"))</f>
        <v/>
      </c>
      <c r="G392" s="84">
        <f>IF(A392="","",COUNTIFS(COMPOSANTS!B:B,A392,COMPOSANTS!G:G,"Défectueux"))</f>
        <v/>
      </c>
      <c r="H392" s="84">
        <f>IF(A392="","",IFERROR(VLOOKUP(A392,EQUIPEMENTS!A:R,18,0),""))</f>
        <v/>
      </c>
      <c r="I392" s="84">
        <f>IF(A392="","",IF(AND(C392="Haute",D392="En panne"),"🔴 CRITIQUE",IF(OR(E392&gt;0,F392&gt;0,G392&gt;0),"🟠 ATTENTION","🟢 OK")))</f>
        <v/>
      </c>
      <c r="J392" s="84">
        <f>IF(A392="","",IFERROR(VLOOKUP(A392,EQUIPEMENTS!A:Q,17,0),""))</f>
        <v/>
      </c>
      <c r="K392" s="84" t="n"/>
    </row>
    <row r="393" ht="15" customHeight="1" s="59">
      <c r="A393" s="87">
        <f>IFERROR(EQUIPEMENTS!A393,"")</f>
        <v/>
      </c>
      <c r="B393" s="87">
        <f>IF(A393="","",IFERROR(VLOOKUP(A393,EQUIPEMENTS!A:B,2,0),""))</f>
        <v/>
      </c>
      <c r="C393" s="87">
        <f>IF(A393="","",IFERROR(VLOOKUP(A393,EQUIPEMENTS!A:D,4,0),""))</f>
        <v/>
      </c>
      <c r="D393" s="87">
        <f>IF(A393="","",IFERROR(VLOOKUP(A393,EQUIPEMENTS!A:M,13,0),""))</f>
        <v/>
      </c>
      <c r="E393" s="87">
        <f>IF(A393="","",COUNTIFS(MAINT_PREV!B:B,A393,MAINT_PREV!G:G,"Planifiée",MAINT_PREV!E:E,"&lt;"&amp;TODAY(),MAINT_PREV!H:H,""))</f>
        <v/>
      </c>
      <c r="F393" s="87">
        <f>IF(A393="","",COUNTIFS(INTERVENTIONS!B:B,A393,INTERVENTIONS!L:L,"Ouverte"))</f>
        <v/>
      </c>
      <c r="G393" s="87">
        <f>IF(A393="","",COUNTIFS(COMPOSANTS!B:B,A393,COMPOSANTS!G:G,"Défectueux"))</f>
        <v/>
      </c>
      <c r="H393" s="87">
        <f>IF(A393="","",IFERROR(VLOOKUP(A393,EQUIPEMENTS!A:R,18,0),""))</f>
        <v/>
      </c>
      <c r="I393" s="87">
        <f>IF(A393="","",IF(AND(C393="Haute",D393="En panne"),"🔴 CRITIQUE",IF(OR(E393&gt;0,F393&gt;0,G393&gt;0),"🟠 ATTENTION","🟢 OK")))</f>
        <v/>
      </c>
      <c r="J393" s="87">
        <f>IF(A393="","",IFERROR(VLOOKUP(A393,EQUIPEMENTS!A:Q,17,0),""))</f>
        <v/>
      </c>
      <c r="K393" s="87" t="n"/>
    </row>
    <row r="394" ht="15" customHeight="1" s="59">
      <c r="A394" s="84">
        <f>IFERROR(EQUIPEMENTS!A394,"")</f>
        <v/>
      </c>
      <c r="B394" s="84">
        <f>IF(A394="","",IFERROR(VLOOKUP(A394,EQUIPEMENTS!A:B,2,0),""))</f>
        <v/>
      </c>
      <c r="C394" s="84">
        <f>IF(A394="","",IFERROR(VLOOKUP(A394,EQUIPEMENTS!A:D,4,0),""))</f>
        <v/>
      </c>
      <c r="D394" s="84">
        <f>IF(A394="","",IFERROR(VLOOKUP(A394,EQUIPEMENTS!A:M,13,0),""))</f>
        <v/>
      </c>
      <c r="E394" s="84">
        <f>IF(A394="","",COUNTIFS(MAINT_PREV!B:B,A394,MAINT_PREV!G:G,"Planifiée",MAINT_PREV!E:E,"&lt;"&amp;TODAY(),MAINT_PREV!H:H,""))</f>
        <v/>
      </c>
      <c r="F394" s="84">
        <f>IF(A394="","",COUNTIFS(INTERVENTIONS!B:B,A394,INTERVENTIONS!L:L,"Ouverte"))</f>
        <v/>
      </c>
      <c r="G394" s="84">
        <f>IF(A394="","",COUNTIFS(COMPOSANTS!B:B,A394,COMPOSANTS!G:G,"Défectueux"))</f>
        <v/>
      </c>
      <c r="H394" s="84">
        <f>IF(A394="","",IFERROR(VLOOKUP(A394,EQUIPEMENTS!A:R,18,0),""))</f>
        <v/>
      </c>
      <c r="I394" s="84">
        <f>IF(A394="","",IF(AND(C394="Haute",D394="En panne"),"🔴 CRITIQUE",IF(OR(E394&gt;0,F394&gt;0,G394&gt;0),"🟠 ATTENTION","🟢 OK")))</f>
        <v/>
      </c>
      <c r="J394" s="84">
        <f>IF(A394="","",IFERROR(VLOOKUP(A394,EQUIPEMENTS!A:Q,17,0),""))</f>
        <v/>
      </c>
      <c r="K394" s="84" t="n"/>
    </row>
    <row r="395" ht="15" customHeight="1" s="59">
      <c r="A395" s="87">
        <f>IFERROR(EQUIPEMENTS!A395,"")</f>
        <v/>
      </c>
      <c r="B395" s="87">
        <f>IF(A395="","",IFERROR(VLOOKUP(A395,EQUIPEMENTS!A:B,2,0),""))</f>
        <v/>
      </c>
      <c r="C395" s="87">
        <f>IF(A395="","",IFERROR(VLOOKUP(A395,EQUIPEMENTS!A:D,4,0),""))</f>
        <v/>
      </c>
      <c r="D395" s="87">
        <f>IF(A395="","",IFERROR(VLOOKUP(A395,EQUIPEMENTS!A:M,13,0),""))</f>
        <v/>
      </c>
      <c r="E395" s="87">
        <f>IF(A395="","",COUNTIFS(MAINT_PREV!B:B,A395,MAINT_PREV!G:G,"Planifiée",MAINT_PREV!E:E,"&lt;"&amp;TODAY(),MAINT_PREV!H:H,""))</f>
        <v/>
      </c>
      <c r="F395" s="87">
        <f>IF(A395="","",COUNTIFS(INTERVENTIONS!B:B,A395,INTERVENTIONS!L:L,"Ouverte"))</f>
        <v/>
      </c>
      <c r="G395" s="87">
        <f>IF(A395="","",COUNTIFS(COMPOSANTS!B:B,A395,COMPOSANTS!G:G,"Défectueux"))</f>
        <v/>
      </c>
      <c r="H395" s="87">
        <f>IF(A395="","",IFERROR(VLOOKUP(A395,EQUIPEMENTS!A:R,18,0),""))</f>
        <v/>
      </c>
      <c r="I395" s="87">
        <f>IF(A395="","",IF(AND(C395="Haute",D395="En panne"),"🔴 CRITIQUE",IF(OR(E395&gt;0,F395&gt;0,G395&gt;0),"🟠 ATTENTION","🟢 OK")))</f>
        <v/>
      </c>
      <c r="J395" s="87">
        <f>IF(A395="","",IFERROR(VLOOKUP(A395,EQUIPEMENTS!A:Q,17,0),""))</f>
        <v/>
      </c>
      <c r="K395" s="87" t="n"/>
    </row>
    <row r="396" ht="15" customHeight="1" s="59">
      <c r="A396" s="84">
        <f>IFERROR(EQUIPEMENTS!A396,"")</f>
        <v/>
      </c>
      <c r="B396" s="84">
        <f>IF(A396="","",IFERROR(VLOOKUP(A396,EQUIPEMENTS!A:B,2,0),""))</f>
        <v/>
      </c>
      <c r="C396" s="84">
        <f>IF(A396="","",IFERROR(VLOOKUP(A396,EQUIPEMENTS!A:D,4,0),""))</f>
        <v/>
      </c>
      <c r="D396" s="84">
        <f>IF(A396="","",IFERROR(VLOOKUP(A396,EQUIPEMENTS!A:M,13,0),""))</f>
        <v/>
      </c>
      <c r="E396" s="84">
        <f>IF(A396="","",COUNTIFS(MAINT_PREV!B:B,A396,MAINT_PREV!G:G,"Planifiée",MAINT_PREV!E:E,"&lt;"&amp;TODAY(),MAINT_PREV!H:H,""))</f>
        <v/>
      </c>
      <c r="F396" s="84">
        <f>IF(A396="","",COUNTIFS(INTERVENTIONS!B:B,A396,INTERVENTIONS!L:L,"Ouverte"))</f>
        <v/>
      </c>
      <c r="G396" s="84">
        <f>IF(A396="","",COUNTIFS(COMPOSANTS!B:B,A396,COMPOSANTS!G:G,"Défectueux"))</f>
        <v/>
      </c>
      <c r="H396" s="84">
        <f>IF(A396="","",IFERROR(VLOOKUP(A396,EQUIPEMENTS!A:R,18,0),""))</f>
        <v/>
      </c>
      <c r="I396" s="84">
        <f>IF(A396="","",IF(AND(C396="Haute",D396="En panne"),"🔴 CRITIQUE",IF(OR(E396&gt;0,F396&gt;0,G396&gt;0),"🟠 ATTENTION","🟢 OK")))</f>
        <v/>
      </c>
      <c r="J396" s="84">
        <f>IF(A396="","",IFERROR(VLOOKUP(A396,EQUIPEMENTS!A:Q,17,0),""))</f>
        <v/>
      </c>
      <c r="K396" s="84" t="n"/>
    </row>
    <row r="397" ht="15" customHeight="1" s="59">
      <c r="A397" s="87">
        <f>IFERROR(EQUIPEMENTS!A397,"")</f>
        <v/>
      </c>
      <c r="B397" s="87">
        <f>IF(A397="","",IFERROR(VLOOKUP(A397,EQUIPEMENTS!A:B,2,0),""))</f>
        <v/>
      </c>
      <c r="C397" s="87">
        <f>IF(A397="","",IFERROR(VLOOKUP(A397,EQUIPEMENTS!A:D,4,0),""))</f>
        <v/>
      </c>
      <c r="D397" s="87">
        <f>IF(A397="","",IFERROR(VLOOKUP(A397,EQUIPEMENTS!A:M,13,0),""))</f>
        <v/>
      </c>
      <c r="E397" s="87">
        <f>IF(A397="","",COUNTIFS(MAINT_PREV!B:B,A397,MAINT_PREV!G:G,"Planifiée",MAINT_PREV!E:E,"&lt;"&amp;TODAY(),MAINT_PREV!H:H,""))</f>
        <v/>
      </c>
      <c r="F397" s="87">
        <f>IF(A397="","",COUNTIFS(INTERVENTIONS!B:B,A397,INTERVENTIONS!L:L,"Ouverte"))</f>
        <v/>
      </c>
      <c r="G397" s="87">
        <f>IF(A397="","",COUNTIFS(COMPOSANTS!B:B,A397,COMPOSANTS!G:G,"Défectueux"))</f>
        <v/>
      </c>
      <c r="H397" s="87">
        <f>IF(A397="","",IFERROR(VLOOKUP(A397,EQUIPEMENTS!A:R,18,0),""))</f>
        <v/>
      </c>
      <c r="I397" s="87">
        <f>IF(A397="","",IF(AND(C397="Haute",D397="En panne"),"🔴 CRITIQUE",IF(OR(E397&gt;0,F397&gt;0,G397&gt;0),"🟠 ATTENTION","🟢 OK")))</f>
        <v/>
      </c>
      <c r="J397" s="87">
        <f>IF(A397="","",IFERROR(VLOOKUP(A397,EQUIPEMENTS!A:Q,17,0),""))</f>
        <v/>
      </c>
      <c r="K397" s="87" t="n"/>
    </row>
    <row r="398" ht="15" customHeight="1" s="59">
      <c r="A398" s="84">
        <f>IFERROR(EQUIPEMENTS!A398,"")</f>
        <v/>
      </c>
      <c r="B398" s="84">
        <f>IF(A398="","",IFERROR(VLOOKUP(A398,EQUIPEMENTS!A:B,2,0),""))</f>
        <v/>
      </c>
      <c r="C398" s="84">
        <f>IF(A398="","",IFERROR(VLOOKUP(A398,EQUIPEMENTS!A:D,4,0),""))</f>
        <v/>
      </c>
      <c r="D398" s="84">
        <f>IF(A398="","",IFERROR(VLOOKUP(A398,EQUIPEMENTS!A:M,13,0),""))</f>
        <v/>
      </c>
      <c r="E398" s="84">
        <f>IF(A398="","",COUNTIFS(MAINT_PREV!B:B,A398,MAINT_PREV!G:G,"Planifiée",MAINT_PREV!E:E,"&lt;"&amp;TODAY(),MAINT_PREV!H:H,""))</f>
        <v/>
      </c>
      <c r="F398" s="84">
        <f>IF(A398="","",COUNTIFS(INTERVENTIONS!B:B,A398,INTERVENTIONS!L:L,"Ouverte"))</f>
        <v/>
      </c>
      <c r="G398" s="84">
        <f>IF(A398="","",COUNTIFS(COMPOSANTS!B:B,A398,COMPOSANTS!G:G,"Défectueux"))</f>
        <v/>
      </c>
      <c r="H398" s="84">
        <f>IF(A398="","",IFERROR(VLOOKUP(A398,EQUIPEMENTS!A:R,18,0),""))</f>
        <v/>
      </c>
      <c r="I398" s="84">
        <f>IF(A398="","",IF(AND(C398="Haute",D398="En panne"),"🔴 CRITIQUE",IF(OR(E398&gt;0,F398&gt;0,G398&gt;0),"🟠 ATTENTION","🟢 OK")))</f>
        <v/>
      </c>
      <c r="J398" s="84">
        <f>IF(A398="","",IFERROR(VLOOKUP(A398,EQUIPEMENTS!A:Q,17,0),""))</f>
        <v/>
      </c>
      <c r="K398" s="84" t="n"/>
    </row>
    <row r="399" ht="15" customHeight="1" s="59">
      <c r="A399" s="87">
        <f>IFERROR(EQUIPEMENTS!A399,"")</f>
        <v/>
      </c>
      <c r="B399" s="87">
        <f>IF(A399="","",IFERROR(VLOOKUP(A399,EQUIPEMENTS!A:B,2,0),""))</f>
        <v/>
      </c>
      <c r="C399" s="87">
        <f>IF(A399="","",IFERROR(VLOOKUP(A399,EQUIPEMENTS!A:D,4,0),""))</f>
        <v/>
      </c>
      <c r="D399" s="87">
        <f>IF(A399="","",IFERROR(VLOOKUP(A399,EQUIPEMENTS!A:M,13,0),""))</f>
        <v/>
      </c>
      <c r="E399" s="87">
        <f>IF(A399="","",COUNTIFS(MAINT_PREV!B:B,A399,MAINT_PREV!G:G,"Planifiée",MAINT_PREV!E:E,"&lt;"&amp;TODAY(),MAINT_PREV!H:H,""))</f>
        <v/>
      </c>
      <c r="F399" s="87">
        <f>IF(A399="","",COUNTIFS(INTERVENTIONS!B:B,A399,INTERVENTIONS!L:L,"Ouverte"))</f>
        <v/>
      </c>
      <c r="G399" s="87">
        <f>IF(A399="","",COUNTIFS(COMPOSANTS!B:B,A399,COMPOSANTS!G:G,"Défectueux"))</f>
        <v/>
      </c>
      <c r="H399" s="87">
        <f>IF(A399="","",IFERROR(VLOOKUP(A399,EQUIPEMENTS!A:R,18,0),""))</f>
        <v/>
      </c>
      <c r="I399" s="87">
        <f>IF(A399="","",IF(AND(C399="Haute",D399="En panne"),"🔴 CRITIQUE",IF(OR(E399&gt;0,F399&gt;0,G399&gt;0),"🟠 ATTENTION","🟢 OK")))</f>
        <v/>
      </c>
      <c r="J399" s="87">
        <f>IF(A399="","",IFERROR(VLOOKUP(A399,EQUIPEMENTS!A:Q,17,0),""))</f>
        <v/>
      </c>
      <c r="K399" s="87" t="n"/>
    </row>
    <row r="400" ht="15" customHeight="1" s="59">
      <c r="A400" s="84">
        <f>IFERROR(EQUIPEMENTS!A400,"")</f>
        <v/>
      </c>
      <c r="B400" s="84">
        <f>IF(A400="","",IFERROR(VLOOKUP(A400,EQUIPEMENTS!A:B,2,0),""))</f>
        <v/>
      </c>
      <c r="C400" s="84">
        <f>IF(A400="","",IFERROR(VLOOKUP(A400,EQUIPEMENTS!A:D,4,0),""))</f>
        <v/>
      </c>
      <c r="D400" s="84">
        <f>IF(A400="","",IFERROR(VLOOKUP(A400,EQUIPEMENTS!A:M,13,0),""))</f>
        <v/>
      </c>
      <c r="E400" s="84">
        <f>IF(A400="","",COUNTIFS(MAINT_PREV!B:B,A400,MAINT_PREV!G:G,"Planifiée",MAINT_PREV!E:E,"&lt;"&amp;TODAY(),MAINT_PREV!H:H,""))</f>
        <v/>
      </c>
      <c r="F400" s="84">
        <f>IF(A400="","",COUNTIFS(INTERVENTIONS!B:B,A400,INTERVENTIONS!L:L,"Ouverte"))</f>
        <v/>
      </c>
      <c r="G400" s="84">
        <f>IF(A400="","",COUNTIFS(COMPOSANTS!B:B,A400,COMPOSANTS!G:G,"Défectueux"))</f>
        <v/>
      </c>
      <c r="H400" s="84">
        <f>IF(A400="","",IFERROR(VLOOKUP(A400,EQUIPEMENTS!A:R,18,0),""))</f>
        <v/>
      </c>
      <c r="I400" s="84">
        <f>IF(A400="","",IF(AND(C400="Haute",D400="En panne"),"🔴 CRITIQUE",IF(OR(E400&gt;0,F400&gt;0,G400&gt;0),"🟠 ATTENTION","🟢 OK")))</f>
        <v/>
      </c>
      <c r="J400" s="84">
        <f>IF(A400="","",IFERROR(VLOOKUP(A400,EQUIPEMENTS!A:Q,17,0),""))</f>
        <v/>
      </c>
      <c r="K400" s="84" t="n"/>
    </row>
    <row r="401" ht="15" customHeight="1" s="59">
      <c r="A401" s="87">
        <f>IFERROR(EQUIPEMENTS!A401,"")</f>
        <v/>
      </c>
      <c r="B401" s="87">
        <f>IF(A401="","",IFERROR(VLOOKUP(A401,EQUIPEMENTS!A:B,2,0),""))</f>
        <v/>
      </c>
      <c r="C401" s="87">
        <f>IF(A401="","",IFERROR(VLOOKUP(A401,EQUIPEMENTS!A:D,4,0),""))</f>
        <v/>
      </c>
      <c r="D401" s="87">
        <f>IF(A401="","",IFERROR(VLOOKUP(A401,EQUIPEMENTS!A:M,13,0),""))</f>
        <v/>
      </c>
      <c r="E401" s="87">
        <f>IF(A401="","",COUNTIFS(MAINT_PREV!B:B,A401,MAINT_PREV!G:G,"Planifiée",MAINT_PREV!E:E,"&lt;"&amp;TODAY(),MAINT_PREV!H:H,""))</f>
        <v/>
      </c>
      <c r="F401" s="87">
        <f>IF(A401="","",COUNTIFS(INTERVENTIONS!B:B,A401,INTERVENTIONS!L:L,"Ouverte"))</f>
        <v/>
      </c>
      <c r="G401" s="87">
        <f>IF(A401="","",COUNTIFS(COMPOSANTS!B:B,A401,COMPOSANTS!G:G,"Défectueux"))</f>
        <v/>
      </c>
      <c r="H401" s="87">
        <f>IF(A401="","",IFERROR(VLOOKUP(A401,EQUIPEMENTS!A:R,18,0),""))</f>
        <v/>
      </c>
      <c r="I401" s="87">
        <f>IF(A401="","",IF(AND(C401="Haute",D401="En panne"),"🔴 CRITIQUE",IF(OR(E401&gt;0,F401&gt;0,G401&gt;0),"🟠 ATTENTION","🟢 OK")))</f>
        <v/>
      </c>
      <c r="J401" s="87">
        <f>IF(A401="","",IFERROR(VLOOKUP(A401,EQUIPEMENTS!A:Q,17,0),""))</f>
        <v/>
      </c>
      <c r="K401" s="87" t="n"/>
    </row>
    <row r="402" ht="15" customHeight="1" s="59">
      <c r="A402" s="84">
        <f>IFERROR(EQUIPEMENTS!A402,"")</f>
        <v/>
      </c>
      <c r="B402" s="84">
        <f>IF(A402="","",IFERROR(VLOOKUP(A402,EQUIPEMENTS!A:B,2,0),""))</f>
        <v/>
      </c>
      <c r="C402" s="84">
        <f>IF(A402="","",IFERROR(VLOOKUP(A402,EQUIPEMENTS!A:D,4,0),""))</f>
        <v/>
      </c>
      <c r="D402" s="84">
        <f>IF(A402="","",IFERROR(VLOOKUP(A402,EQUIPEMENTS!A:M,13,0),""))</f>
        <v/>
      </c>
      <c r="E402" s="84">
        <f>IF(A402="","",COUNTIFS(MAINT_PREV!B:B,A402,MAINT_PREV!G:G,"Planifiée",MAINT_PREV!E:E,"&lt;"&amp;TODAY(),MAINT_PREV!H:H,""))</f>
        <v/>
      </c>
      <c r="F402" s="84">
        <f>IF(A402="","",COUNTIFS(INTERVENTIONS!B:B,A402,INTERVENTIONS!L:L,"Ouverte"))</f>
        <v/>
      </c>
      <c r="G402" s="84">
        <f>IF(A402="","",COUNTIFS(COMPOSANTS!B:B,A402,COMPOSANTS!G:G,"Défectueux"))</f>
        <v/>
      </c>
      <c r="H402" s="84">
        <f>IF(A402="","",IFERROR(VLOOKUP(A402,EQUIPEMENTS!A:R,18,0),""))</f>
        <v/>
      </c>
      <c r="I402" s="84">
        <f>IF(A402="","",IF(AND(C402="Haute",D402="En panne"),"🔴 CRITIQUE",IF(OR(E402&gt;0,F402&gt;0,G402&gt;0),"🟠 ATTENTION","🟢 OK")))</f>
        <v/>
      </c>
      <c r="J402" s="84">
        <f>IF(A402="","",IFERROR(VLOOKUP(A402,EQUIPEMENTS!A:Q,17,0),""))</f>
        <v/>
      </c>
      <c r="K402" s="84" t="n"/>
    </row>
    <row r="403" ht="15" customHeight="1" s="59">
      <c r="A403" s="87">
        <f>IFERROR(EQUIPEMENTS!A403,"")</f>
        <v/>
      </c>
      <c r="B403" s="87">
        <f>IF(A403="","",IFERROR(VLOOKUP(A403,EQUIPEMENTS!A:B,2,0),""))</f>
        <v/>
      </c>
      <c r="C403" s="87">
        <f>IF(A403="","",IFERROR(VLOOKUP(A403,EQUIPEMENTS!A:D,4,0),""))</f>
        <v/>
      </c>
      <c r="D403" s="87">
        <f>IF(A403="","",IFERROR(VLOOKUP(A403,EQUIPEMENTS!A:M,13,0),""))</f>
        <v/>
      </c>
      <c r="E403" s="87">
        <f>IF(A403="","",COUNTIFS(MAINT_PREV!B:B,A403,MAINT_PREV!G:G,"Planifiée",MAINT_PREV!E:E,"&lt;"&amp;TODAY(),MAINT_PREV!H:H,""))</f>
        <v/>
      </c>
      <c r="F403" s="87">
        <f>IF(A403="","",COUNTIFS(INTERVENTIONS!B:B,A403,INTERVENTIONS!L:L,"Ouverte"))</f>
        <v/>
      </c>
      <c r="G403" s="87">
        <f>IF(A403="","",COUNTIFS(COMPOSANTS!B:B,A403,COMPOSANTS!G:G,"Défectueux"))</f>
        <v/>
      </c>
      <c r="H403" s="87">
        <f>IF(A403="","",IFERROR(VLOOKUP(A403,EQUIPEMENTS!A:R,18,0),""))</f>
        <v/>
      </c>
      <c r="I403" s="87">
        <f>IF(A403="","",IF(AND(C403="Haute",D403="En panne"),"🔴 CRITIQUE",IF(OR(E403&gt;0,F403&gt;0,G403&gt;0),"🟠 ATTENTION","🟢 OK")))</f>
        <v/>
      </c>
      <c r="J403" s="87">
        <f>IF(A403="","",IFERROR(VLOOKUP(A403,EQUIPEMENTS!A:Q,17,0),""))</f>
        <v/>
      </c>
      <c r="K403" s="87" t="n"/>
    </row>
    <row r="404" ht="15" customHeight="1" s="59">
      <c r="A404" s="84">
        <f>IFERROR(EQUIPEMENTS!A404,"")</f>
        <v/>
      </c>
      <c r="B404" s="84">
        <f>IF(A404="","",IFERROR(VLOOKUP(A404,EQUIPEMENTS!A:B,2,0),""))</f>
        <v/>
      </c>
      <c r="C404" s="84">
        <f>IF(A404="","",IFERROR(VLOOKUP(A404,EQUIPEMENTS!A:D,4,0),""))</f>
        <v/>
      </c>
      <c r="D404" s="84">
        <f>IF(A404="","",IFERROR(VLOOKUP(A404,EQUIPEMENTS!A:M,13,0),""))</f>
        <v/>
      </c>
      <c r="E404" s="84">
        <f>IF(A404="","",COUNTIFS(MAINT_PREV!B:B,A404,MAINT_PREV!G:G,"Planifiée",MAINT_PREV!E:E,"&lt;"&amp;TODAY(),MAINT_PREV!H:H,""))</f>
        <v/>
      </c>
      <c r="F404" s="84">
        <f>IF(A404="","",COUNTIFS(INTERVENTIONS!B:B,A404,INTERVENTIONS!L:L,"Ouverte"))</f>
        <v/>
      </c>
      <c r="G404" s="84">
        <f>IF(A404="","",COUNTIFS(COMPOSANTS!B:B,A404,COMPOSANTS!G:G,"Défectueux"))</f>
        <v/>
      </c>
      <c r="H404" s="84">
        <f>IF(A404="","",IFERROR(VLOOKUP(A404,EQUIPEMENTS!A:R,18,0),""))</f>
        <v/>
      </c>
      <c r="I404" s="84">
        <f>IF(A404="","",IF(AND(C404="Haute",D404="En panne"),"🔴 CRITIQUE",IF(OR(E404&gt;0,F404&gt;0,G404&gt;0),"🟠 ATTENTION","🟢 OK")))</f>
        <v/>
      </c>
      <c r="J404" s="84">
        <f>IF(A404="","",IFERROR(VLOOKUP(A404,EQUIPEMENTS!A:Q,17,0),""))</f>
        <v/>
      </c>
      <c r="K404" s="84" t="n"/>
    </row>
    <row r="405" ht="15" customHeight="1" s="59">
      <c r="A405" s="87">
        <f>IFERROR(EQUIPEMENTS!A405,"")</f>
        <v/>
      </c>
      <c r="B405" s="87">
        <f>IF(A405="","",IFERROR(VLOOKUP(A405,EQUIPEMENTS!A:B,2,0),""))</f>
        <v/>
      </c>
      <c r="C405" s="87">
        <f>IF(A405="","",IFERROR(VLOOKUP(A405,EQUIPEMENTS!A:D,4,0),""))</f>
        <v/>
      </c>
      <c r="D405" s="87">
        <f>IF(A405="","",IFERROR(VLOOKUP(A405,EQUIPEMENTS!A:M,13,0),""))</f>
        <v/>
      </c>
      <c r="E405" s="87">
        <f>IF(A405="","",COUNTIFS(MAINT_PREV!B:B,A405,MAINT_PREV!G:G,"Planifiée",MAINT_PREV!E:E,"&lt;"&amp;TODAY(),MAINT_PREV!H:H,""))</f>
        <v/>
      </c>
      <c r="F405" s="87">
        <f>IF(A405="","",COUNTIFS(INTERVENTIONS!B:B,A405,INTERVENTIONS!L:L,"Ouverte"))</f>
        <v/>
      </c>
      <c r="G405" s="87">
        <f>IF(A405="","",COUNTIFS(COMPOSANTS!B:B,A405,COMPOSANTS!G:G,"Défectueux"))</f>
        <v/>
      </c>
      <c r="H405" s="87">
        <f>IF(A405="","",IFERROR(VLOOKUP(A405,EQUIPEMENTS!A:R,18,0),""))</f>
        <v/>
      </c>
      <c r="I405" s="87">
        <f>IF(A405="","",IF(AND(C405="Haute",D405="En panne"),"🔴 CRITIQUE",IF(OR(E405&gt;0,F405&gt;0,G405&gt;0),"🟠 ATTENTION","🟢 OK")))</f>
        <v/>
      </c>
      <c r="J405" s="87">
        <f>IF(A405="","",IFERROR(VLOOKUP(A405,EQUIPEMENTS!A:Q,17,0),""))</f>
        <v/>
      </c>
      <c r="K405" s="87" t="n"/>
    </row>
    <row r="406" ht="15" customHeight="1" s="59">
      <c r="A406" s="84">
        <f>IFERROR(EQUIPEMENTS!A406,"")</f>
        <v/>
      </c>
      <c r="B406" s="84">
        <f>IF(A406="","",IFERROR(VLOOKUP(A406,EQUIPEMENTS!A:B,2,0),""))</f>
        <v/>
      </c>
      <c r="C406" s="84">
        <f>IF(A406="","",IFERROR(VLOOKUP(A406,EQUIPEMENTS!A:D,4,0),""))</f>
        <v/>
      </c>
      <c r="D406" s="84">
        <f>IF(A406="","",IFERROR(VLOOKUP(A406,EQUIPEMENTS!A:M,13,0),""))</f>
        <v/>
      </c>
      <c r="E406" s="84">
        <f>IF(A406="","",COUNTIFS(MAINT_PREV!B:B,A406,MAINT_PREV!G:G,"Planifiée",MAINT_PREV!E:E,"&lt;"&amp;TODAY(),MAINT_PREV!H:H,""))</f>
        <v/>
      </c>
      <c r="F406" s="84">
        <f>IF(A406="","",COUNTIFS(INTERVENTIONS!B:B,A406,INTERVENTIONS!L:L,"Ouverte"))</f>
        <v/>
      </c>
      <c r="G406" s="84">
        <f>IF(A406="","",COUNTIFS(COMPOSANTS!B:B,A406,COMPOSANTS!G:G,"Défectueux"))</f>
        <v/>
      </c>
      <c r="H406" s="84">
        <f>IF(A406="","",IFERROR(VLOOKUP(A406,EQUIPEMENTS!A:R,18,0),""))</f>
        <v/>
      </c>
      <c r="I406" s="84">
        <f>IF(A406="","",IF(AND(C406="Haute",D406="En panne"),"🔴 CRITIQUE",IF(OR(E406&gt;0,F406&gt;0,G406&gt;0),"🟠 ATTENTION","🟢 OK")))</f>
        <v/>
      </c>
      <c r="J406" s="84">
        <f>IF(A406="","",IFERROR(VLOOKUP(A406,EQUIPEMENTS!A:Q,17,0),""))</f>
        <v/>
      </c>
      <c r="K406" s="84" t="n"/>
    </row>
    <row r="407" ht="15" customHeight="1" s="59">
      <c r="A407" s="87">
        <f>IFERROR(EQUIPEMENTS!A407,"")</f>
        <v/>
      </c>
      <c r="B407" s="87">
        <f>IF(A407="","",IFERROR(VLOOKUP(A407,EQUIPEMENTS!A:B,2,0),""))</f>
        <v/>
      </c>
      <c r="C407" s="87">
        <f>IF(A407="","",IFERROR(VLOOKUP(A407,EQUIPEMENTS!A:D,4,0),""))</f>
        <v/>
      </c>
      <c r="D407" s="87">
        <f>IF(A407="","",IFERROR(VLOOKUP(A407,EQUIPEMENTS!A:M,13,0),""))</f>
        <v/>
      </c>
      <c r="E407" s="87">
        <f>IF(A407="","",COUNTIFS(MAINT_PREV!B:B,A407,MAINT_PREV!G:G,"Planifiée",MAINT_PREV!E:E,"&lt;"&amp;TODAY(),MAINT_PREV!H:H,""))</f>
        <v/>
      </c>
      <c r="F407" s="87">
        <f>IF(A407="","",COUNTIFS(INTERVENTIONS!B:B,A407,INTERVENTIONS!L:L,"Ouverte"))</f>
        <v/>
      </c>
      <c r="G407" s="87">
        <f>IF(A407="","",COUNTIFS(COMPOSANTS!B:B,A407,COMPOSANTS!G:G,"Défectueux"))</f>
        <v/>
      </c>
      <c r="H407" s="87">
        <f>IF(A407="","",IFERROR(VLOOKUP(A407,EQUIPEMENTS!A:R,18,0),""))</f>
        <v/>
      </c>
      <c r="I407" s="87">
        <f>IF(A407="","",IF(AND(C407="Haute",D407="En panne"),"🔴 CRITIQUE",IF(OR(E407&gt;0,F407&gt;0,G407&gt;0),"🟠 ATTENTION","🟢 OK")))</f>
        <v/>
      </c>
      <c r="J407" s="87">
        <f>IF(A407="","",IFERROR(VLOOKUP(A407,EQUIPEMENTS!A:Q,17,0),""))</f>
        <v/>
      </c>
      <c r="K407" s="87" t="n"/>
    </row>
    <row r="408" ht="15" customHeight="1" s="59">
      <c r="A408" s="84">
        <f>IFERROR(EQUIPEMENTS!A408,"")</f>
        <v/>
      </c>
      <c r="B408" s="84">
        <f>IF(A408="","",IFERROR(VLOOKUP(A408,EQUIPEMENTS!A:B,2,0),""))</f>
        <v/>
      </c>
      <c r="C408" s="84">
        <f>IF(A408="","",IFERROR(VLOOKUP(A408,EQUIPEMENTS!A:D,4,0),""))</f>
        <v/>
      </c>
      <c r="D408" s="84">
        <f>IF(A408="","",IFERROR(VLOOKUP(A408,EQUIPEMENTS!A:M,13,0),""))</f>
        <v/>
      </c>
      <c r="E408" s="84">
        <f>IF(A408="","",COUNTIFS(MAINT_PREV!B:B,A408,MAINT_PREV!G:G,"Planifiée",MAINT_PREV!E:E,"&lt;"&amp;TODAY(),MAINT_PREV!H:H,""))</f>
        <v/>
      </c>
      <c r="F408" s="84">
        <f>IF(A408="","",COUNTIFS(INTERVENTIONS!B:B,A408,INTERVENTIONS!L:L,"Ouverte"))</f>
        <v/>
      </c>
      <c r="G408" s="84">
        <f>IF(A408="","",COUNTIFS(COMPOSANTS!B:B,A408,COMPOSANTS!G:G,"Défectueux"))</f>
        <v/>
      </c>
      <c r="H408" s="84">
        <f>IF(A408="","",IFERROR(VLOOKUP(A408,EQUIPEMENTS!A:R,18,0),""))</f>
        <v/>
      </c>
      <c r="I408" s="84">
        <f>IF(A408="","",IF(AND(C408="Haute",D408="En panne"),"🔴 CRITIQUE",IF(OR(E408&gt;0,F408&gt;0,G408&gt;0),"🟠 ATTENTION","🟢 OK")))</f>
        <v/>
      </c>
      <c r="J408" s="84">
        <f>IF(A408="","",IFERROR(VLOOKUP(A408,EQUIPEMENTS!A:Q,17,0),""))</f>
        <v/>
      </c>
      <c r="K408" s="84" t="n"/>
    </row>
    <row r="409" ht="15" customHeight="1" s="59">
      <c r="A409" s="87">
        <f>IFERROR(EQUIPEMENTS!A409,"")</f>
        <v/>
      </c>
      <c r="B409" s="87">
        <f>IF(A409="","",IFERROR(VLOOKUP(A409,EQUIPEMENTS!A:B,2,0),""))</f>
        <v/>
      </c>
      <c r="C409" s="87">
        <f>IF(A409="","",IFERROR(VLOOKUP(A409,EQUIPEMENTS!A:D,4,0),""))</f>
        <v/>
      </c>
      <c r="D409" s="87">
        <f>IF(A409="","",IFERROR(VLOOKUP(A409,EQUIPEMENTS!A:M,13,0),""))</f>
        <v/>
      </c>
      <c r="E409" s="87">
        <f>IF(A409="","",COUNTIFS(MAINT_PREV!B:B,A409,MAINT_PREV!G:G,"Planifiée",MAINT_PREV!E:E,"&lt;"&amp;TODAY(),MAINT_PREV!H:H,""))</f>
        <v/>
      </c>
      <c r="F409" s="87">
        <f>IF(A409="","",COUNTIFS(INTERVENTIONS!B:B,A409,INTERVENTIONS!L:L,"Ouverte"))</f>
        <v/>
      </c>
      <c r="G409" s="87">
        <f>IF(A409="","",COUNTIFS(COMPOSANTS!B:B,A409,COMPOSANTS!G:G,"Défectueux"))</f>
        <v/>
      </c>
      <c r="H409" s="87">
        <f>IF(A409="","",IFERROR(VLOOKUP(A409,EQUIPEMENTS!A:R,18,0),""))</f>
        <v/>
      </c>
      <c r="I409" s="87">
        <f>IF(A409="","",IF(AND(C409="Haute",D409="En panne"),"🔴 CRITIQUE",IF(OR(E409&gt;0,F409&gt;0,G409&gt;0),"🟠 ATTENTION","🟢 OK")))</f>
        <v/>
      </c>
      <c r="J409" s="87">
        <f>IF(A409="","",IFERROR(VLOOKUP(A409,EQUIPEMENTS!A:Q,17,0),""))</f>
        <v/>
      </c>
      <c r="K409" s="87" t="n"/>
    </row>
    <row r="410" ht="15" customHeight="1" s="59">
      <c r="A410" s="84">
        <f>IFERROR(EQUIPEMENTS!A410,"")</f>
        <v/>
      </c>
      <c r="B410" s="84">
        <f>IF(A410="","",IFERROR(VLOOKUP(A410,EQUIPEMENTS!A:B,2,0),""))</f>
        <v/>
      </c>
      <c r="C410" s="84">
        <f>IF(A410="","",IFERROR(VLOOKUP(A410,EQUIPEMENTS!A:D,4,0),""))</f>
        <v/>
      </c>
      <c r="D410" s="84">
        <f>IF(A410="","",IFERROR(VLOOKUP(A410,EQUIPEMENTS!A:M,13,0),""))</f>
        <v/>
      </c>
      <c r="E410" s="84">
        <f>IF(A410="","",COUNTIFS(MAINT_PREV!B:B,A410,MAINT_PREV!G:G,"Planifiée",MAINT_PREV!E:E,"&lt;"&amp;TODAY(),MAINT_PREV!H:H,""))</f>
        <v/>
      </c>
      <c r="F410" s="84">
        <f>IF(A410="","",COUNTIFS(INTERVENTIONS!B:B,A410,INTERVENTIONS!L:L,"Ouverte"))</f>
        <v/>
      </c>
      <c r="G410" s="84">
        <f>IF(A410="","",COUNTIFS(COMPOSANTS!B:B,A410,COMPOSANTS!G:G,"Défectueux"))</f>
        <v/>
      </c>
      <c r="H410" s="84">
        <f>IF(A410="","",IFERROR(VLOOKUP(A410,EQUIPEMENTS!A:R,18,0),""))</f>
        <v/>
      </c>
      <c r="I410" s="84">
        <f>IF(A410="","",IF(AND(C410="Haute",D410="En panne"),"🔴 CRITIQUE",IF(OR(E410&gt;0,F410&gt;0,G410&gt;0),"🟠 ATTENTION","🟢 OK")))</f>
        <v/>
      </c>
      <c r="J410" s="84">
        <f>IF(A410="","",IFERROR(VLOOKUP(A410,EQUIPEMENTS!A:Q,17,0),""))</f>
        <v/>
      </c>
      <c r="K410" s="84" t="n"/>
    </row>
    <row r="411" ht="15" customHeight="1" s="59">
      <c r="A411" s="87">
        <f>IFERROR(EQUIPEMENTS!A411,"")</f>
        <v/>
      </c>
      <c r="B411" s="87">
        <f>IF(A411="","",IFERROR(VLOOKUP(A411,EQUIPEMENTS!A:B,2,0),""))</f>
        <v/>
      </c>
      <c r="C411" s="87">
        <f>IF(A411="","",IFERROR(VLOOKUP(A411,EQUIPEMENTS!A:D,4,0),""))</f>
        <v/>
      </c>
      <c r="D411" s="87">
        <f>IF(A411="","",IFERROR(VLOOKUP(A411,EQUIPEMENTS!A:M,13,0),""))</f>
        <v/>
      </c>
      <c r="E411" s="87">
        <f>IF(A411="","",COUNTIFS(MAINT_PREV!B:B,A411,MAINT_PREV!G:G,"Planifiée",MAINT_PREV!E:E,"&lt;"&amp;TODAY(),MAINT_PREV!H:H,""))</f>
        <v/>
      </c>
      <c r="F411" s="87">
        <f>IF(A411="","",COUNTIFS(INTERVENTIONS!B:B,A411,INTERVENTIONS!L:L,"Ouverte"))</f>
        <v/>
      </c>
      <c r="G411" s="87">
        <f>IF(A411="","",COUNTIFS(COMPOSANTS!B:B,A411,COMPOSANTS!G:G,"Défectueux"))</f>
        <v/>
      </c>
      <c r="H411" s="87">
        <f>IF(A411="","",IFERROR(VLOOKUP(A411,EQUIPEMENTS!A:R,18,0),""))</f>
        <v/>
      </c>
      <c r="I411" s="87">
        <f>IF(A411="","",IF(AND(C411="Haute",D411="En panne"),"🔴 CRITIQUE",IF(OR(E411&gt;0,F411&gt;0,G411&gt;0),"🟠 ATTENTION","🟢 OK")))</f>
        <v/>
      </c>
      <c r="J411" s="87">
        <f>IF(A411="","",IFERROR(VLOOKUP(A411,EQUIPEMENTS!A:Q,17,0),""))</f>
        <v/>
      </c>
      <c r="K411" s="87" t="n"/>
    </row>
    <row r="412" ht="15" customHeight="1" s="59">
      <c r="A412" s="84">
        <f>IFERROR(EQUIPEMENTS!A412,"")</f>
        <v/>
      </c>
      <c r="B412" s="84">
        <f>IF(A412="","",IFERROR(VLOOKUP(A412,EQUIPEMENTS!A:B,2,0),""))</f>
        <v/>
      </c>
      <c r="C412" s="84">
        <f>IF(A412="","",IFERROR(VLOOKUP(A412,EQUIPEMENTS!A:D,4,0),""))</f>
        <v/>
      </c>
      <c r="D412" s="84">
        <f>IF(A412="","",IFERROR(VLOOKUP(A412,EQUIPEMENTS!A:M,13,0),""))</f>
        <v/>
      </c>
      <c r="E412" s="84">
        <f>IF(A412="","",COUNTIFS(MAINT_PREV!B:B,A412,MAINT_PREV!G:G,"Planifiée",MAINT_PREV!E:E,"&lt;"&amp;TODAY(),MAINT_PREV!H:H,""))</f>
        <v/>
      </c>
      <c r="F412" s="84">
        <f>IF(A412="","",COUNTIFS(INTERVENTIONS!B:B,A412,INTERVENTIONS!L:L,"Ouverte"))</f>
        <v/>
      </c>
      <c r="G412" s="84">
        <f>IF(A412="","",COUNTIFS(COMPOSANTS!B:B,A412,COMPOSANTS!G:G,"Défectueux"))</f>
        <v/>
      </c>
      <c r="H412" s="84">
        <f>IF(A412="","",IFERROR(VLOOKUP(A412,EQUIPEMENTS!A:R,18,0),""))</f>
        <v/>
      </c>
      <c r="I412" s="84">
        <f>IF(A412="","",IF(AND(C412="Haute",D412="En panne"),"🔴 CRITIQUE",IF(OR(E412&gt;0,F412&gt;0,G412&gt;0),"🟠 ATTENTION","🟢 OK")))</f>
        <v/>
      </c>
      <c r="J412" s="84">
        <f>IF(A412="","",IFERROR(VLOOKUP(A412,EQUIPEMENTS!A:Q,17,0),""))</f>
        <v/>
      </c>
      <c r="K412" s="84" t="n"/>
    </row>
    <row r="413" ht="15" customHeight="1" s="59">
      <c r="A413" s="87">
        <f>IFERROR(EQUIPEMENTS!A413,"")</f>
        <v/>
      </c>
      <c r="B413" s="87">
        <f>IF(A413="","",IFERROR(VLOOKUP(A413,EQUIPEMENTS!A:B,2,0),""))</f>
        <v/>
      </c>
      <c r="C413" s="87">
        <f>IF(A413="","",IFERROR(VLOOKUP(A413,EQUIPEMENTS!A:D,4,0),""))</f>
        <v/>
      </c>
      <c r="D413" s="87">
        <f>IF(A413="","",IFERROR(VLOOKUP(A413,EQUIPEMENTS!A:M,13,0),""))</f>
        <v/>
      </c>
      <c r="E413" s="87">
        <f>IF(A413="","",COUNTIFS(MAINT_PREV!B:B,A413,MAINT_PREV!G:G,"Planifiée",MAINT_PREV!E:E,"&lt;"&amp;TODAY(),MAINT_PREV!H:H,""))</f>
        <v/>
      </c>
      <c r="F413" s="87">
        <f>IF(A413="","",COUNTIFS(INTERVENTIONS!B:B,A413,INTERVENTIONS!L:L,"Ouverte"))</f>
        <v/>
      </c>
      <c r="G413" s="87">
        <f>IF(A413="","",COUNTIFS(COMPOSANTS!B:B,A413,COMPOSANTS!G:G,"Défectueux"))</f>
        <v/>
      </c>
      <c r="H413" s="87">
        <f>IF(A413="","",IFERROR(VLOOKUP(A413,EQUIPEMENTS!A:R,18,0),""))</f>
        <v/>
      </c>
      <c r="I413" s="87">
        <f>IF(A413="","",IF(AND(C413="Haute",D413="En panne"),"🔴 CRITIQUE",IF(OR(E413&gt;0,F413&gt;0,G413&gt;0),"🟠 ATTENTION","🟢 OK")))</f>
        <v/>
      </c>
      <c r="J413" s="87">
        <f>IF(A413="","",IFERROR(VLOOKUP(A413,EQUIPEMENTS!A:Q,17,0),""))</f>
        <v/>
      </c>
      <c r="K413" s="87" t="n"/>
    </row>
    <row r="414" ht="15" customHeight="1" s="59">
      <c r="A414" s="84">
        <f>IFERROR(EQUIPEMENTS!A414,"")</f>
        <v/>
      </c>
      <c r="B414" s="84">
        <f>IF(A414="","",IFERROR(VLOOKUP(A414,EQUIPEMENTS!A:B,2,0),""))</f>
        <v/>
      </c>
      <c r="C414" s="84">
        <f>IF(A414="","",IFERROR(VLOOKUP(A414,EQUIPEMENTS!A:D,4,0),""))</f>
        <v/>
      </c>
      <c r="D414" s="84">
        <f>IF(A414="","",IFERROR(VLOOKUP(A414,EQUIPEMENTS!A:M,13,0),""))</f>
        <v/>
      </c>
      <c r="E414" s="84">
        <f>IF(A414="","",COUNTIFS(MAINT_PREV!B:B,A414,MAINT_PREV!G:G,"Planifiée",MAINT_PREV!E:E,"&lt;"&amp;TODAY(),MAINT_PREV!H:H,""))</f>
        <v/>
      </c>
      <c r="F414" s="84">
        <f>IF(A414="","",COUNTIFS(INTERVENTIONS!B:B,A414,INTERVENTIONS!L:L,"Ouverte"))</f>
        <v/>
      </c>
      <c r="G414" s="84">
        <f>IF(A414="","",COUNTIFS(COMPOSANTS!B:B,A414,COMPOSANTS!G:G,"Défectueux"))</f>
        <v/>
      </c>
      <c r="H414" s="84">
        <f>IF(A414="","",IFERROR(VLOOKUP(A414,EQUIPEMENTS!A:R,18,0),""))</f>
        <v/>
      </c>
      <c r="I414" s="84">
        <f>IF(A414="","",IF(AND(C414="Haute",D414="En panne"),"🔴 CRITIQUE",IF(OR(E414&gt;0,F414&gt;0,G414&gt;0),"🟠 ATTENTION","🟢 OK")))</f>
        <v/>
      </c>
      <c r="J414" s="84">
        <f>IF(A414="","",IFERROR(VLOOKUP(A414,EQUIPEMENTS!A:Q,17,0),""))</f>
        <v/>
      </c>
      <c r="K414" s="84" t="n"/>
    </row>
    <row r="415" ht="15" customHeight="1" s="59">
      <c r="A415" s="87">
        <f>IFERROR(EQUIPEMENTS!A415,"")</f>
        <v/>
      </c>
      <c r="B415" s="87">
        <f>IF(A415="","",IFERROR(VLOOKUP(A415,EQUIPEMENTS!A:B,2,0),""))</f>
        <v/>
      </c>
      <c r="C415" s="87">
        <f>IF(A415="","",IFERROR(VLOOKUP(A415,EQUIPEMENTS!A:D,4,0),""))</f>
        <v/>
      </c>
      <c r="D415" s="87">
        <f>IF(A415="","",IFERROR(VLOOKUP(A415,EQUIPEMENTS!A:M,13,0),""))</f>
        <v/>
      </c>
      <c r="E415" s="87">
        <f>IF(A415="","",COUNTIFS(MAINT_PREV!B:B,A415,MAINT_PREV!G:G,"Planifiée",MAINT_PREV!E:E,"&lt;"&amp;TODAY(),MAINT_PREV!H:H,""))</f>
        <v/>
      </c>
      <c r="F415" s="87">
        <f>IF(A415="","",COUNTIFS(INTERVENTIONS!B:B,A415,INTERVENTIONS!L:L,"Ouverte"))</f>
        <v/>
      </c>
      <c r="G415" s="87">
        <f>IF(A415="","",COUNTIFS(COMPOSANTS!B:B,A415,COMPOSANTS!G:G,"Défectueux"))</f>
        <v/>
      </c>
      <c r="H415" s="87">
        <f>IF(A415="","",IFERROR(VLOOKUP(A415,EQUIPEMENTS!A:R,18,0),""))</f>
        <v/>
      </c>
      <c r="I415" s="87">
        <f>IF(A415="","",IF(AND(C415="Haute",D415="En panne"),"🔴 CRITIQUE",IF(OR(E415&gt;0,F415&gt;0,G415&gt;0),"🟠 ATTENTION","🟢 OK")))</f>
        <v/>
      </c>
      <c r="J415" s="87">
        <f>IF(A415="","",IFERROR(VLOOKUP(A415,EQUIPEMENTS!A:Q,17,0),""))</f>
        <v/>
      </c>
      <c r="K415" s="87" t="n"/>
    </row>
    <row r="416" ht="15" customHeight="1" s="59">
      <c r="A416" s="84">
        <f>IFERROR(EQUIPEMENTS!A416,"")</f>
        <v/>
      </c>
      <c r="B416" s="84">
        <f>IF(A416="","",IFERROR(VLOOKUP(A416,EQUIPEMENTS!A:B,2,0),""))</f>
        <v/>
      </c>
      <c r="C416" s="84">
        <f>IF(A416="","",IFERROR(VLOOKUP(A416,EQUIPEMENTS!A:D,4,0),""))</f>
        <v/>
      </c>
      <c r="D416" s="84">
        <f>IF(A416="","",IFERROR(VLOOKUP(A416,EQUIPEMENTS!A:M,13,0),""))</f>
        <v/>
      </c>
      <c r="E416" s="84">
        <f>IF(A416="","",COUNTIFS(MAINT_PREV!B:B,A416,MAINT_PREV!G:G,"Planifiée",MAINT_PREV!E:E,"&lt;"&amp;TODAY(),MAINT_PREV!H:H,""))</f>
        <v/>
      </c>
      <c r="F416" s="84">
        <f>IF(A416="","",COUNTIFS(INTERVENTIONS!B:B,A416,INTERVENTIONS!L:L,"Ouverte"))</f>
        <v/>
      </c>
      <c r="G416" s="84">
        <f>IF(A416="","",COUNTIFS(COMPOSANTS!B:B,A416,COMPOSANTS!G:G,"Défectueux"))</f>
        <v/>
      </c>
      <c r="H416" s="84">
        <f>IF(A416="","",IFERROR(VLOOKUP(A416,EQUIPEMENTS!A:R,18,0),""))</f>
        <v/>
      </c>
      <c r="I416" s="84">
        <f>IF(A416="","",IF(AND(C416="Haute",D416="En panne"),"🔴 CRITIQUE",IF(OR(E416&gt;0,F416&gt;0,G416&gt;0),"🟠 ATTENTION","🟢 OK")))</f>
        <v/>
      </c>
      <c r="J416" s="84">
        <f>IF(A416="","",IFERROR(VLOOKUP(A416,EQUIPEMENTS!A:Q,17,0),""))</f>
        <v/>
      </c>
      <c r="K416" s="84" t="n"/>
    </row>
    <row r="417" ht="15" customHeight="1" s="59">
      <c r="A417" s="87">
        <f>IFERROR(EQUIPEMENTS!A417,"")</f>
        <v/>
      </c>
      <c r="B417" s="87">
        <f>IF(A417="","",IFERROR(VLOOKUP(A417,EQUIPEMENTS!A:B,2,0),""))</f>
        <v/>
      </c>
      <c r="C417" s="87">
        <f>IF(A417="","",IFERROR(VLOOKUP(A417,EQUIPEMENTS!A:D,4,0),""))</f>
        <v/>
      </c>
      <c r="D417" s="87">
        <f>IF(A417="","",IFERROR(VLOOKUP(A417,EQUIPEMENTS!A:M,13,0),""))</f>
        <v/>
      </c>
      <c r="E417" s="87">
        <f>IF(A417="","",COUNTIFS(MAINT_PREV!B:B,A417,MAINT_PREV!G:G,"Planifiée",MAINT_PREV!E:E,"&lt;"&amp;TODAY(),MAINT_PREV!H:H,""))</f>
        <v/>
      </c>
      <c r="F417" s="87">
        <f>IF(A417="","",COUNTIFS(INTERVENTIONS!B:B,A417,INTERVENTIONS!L:L,"Ouverte"))</f>
        <v/>
      </c>
      <c r="G417" s="87">
        <f>IF(A417="","",COUNTIFS(COMPOSANTS!B:B,A417,COMPOSANTS!G:G,"Défectueux"))</f>
        <v/>
      </c>
      <c r="H417" s="87">
        <f>IF(A417="","",IFERROR(VLOOKUP(A417,EQUIPEMENTS!A:R,18,0),""))</f>
        <v/>
      </c>
      <c r="I417" s="87">
        <f>IF(A417="","",IF(AND(C417="Haute",D417="En panne"),"🔴 CRITIQUE",IF(OR(E417&gt;0,F417&gt;0,G417&gt;0),"🟠 ATTENTION","🟢 OK")))</f>
        <v/>
      </c>
      <c r="J417" s="87">
        <f>IF(A417="","",IFERROR(VLOOKUP(A417,EQUIPEMENTS!A:Q,17,0),""))</f>
        <v/>
      </c>
      <c r="K417" s="87" t="n"/>
    </row>
    <row r="418" ht="15" customHeight="1" s="59">
      <c r="A418" s="84">
        <f>IFERROR(EQUIPEMENTS!A418,"")</f>
        <v/>
      </c>
      <c r="B418" s="84">
        <f>IF(A418="","",IFERROR(VLOOKUP(A418,EQUIPEMENTS!A:B,2,0),""))</f>
        <v/>
      </c>
      <c r="C418" s="84">
        <f>IF(A418="","",IFERROR(VLOOKUP(A418,EQUIPEMENTS!A:D,4,0),""))</f>
        <v/>
      </c>
      <c r="D418" s="84">
        <f>IF(A418="","",IFERROR(VLOOKUP(A418,EQUIPEMENTS!A:M,13,0),""))</f>
        <v/>
      </c>
      <c r="E418" s="84">
        <f>IF(A418="","",COUNTIFS(MAINT_PREV!B:B,A418,MAINT_PREV!G:G,"Planifiée",MAINT_PREV!E:E,"&lt;"&amp;TODAY(),MAINT_PREV!H:H,""))</f>
        <v/>
      </c>
      <c r="F418" s="84">
        <f>IF(A418="","",COUNTIFS(INTERVENTIONS!B:B,A418,INTERVENTIONS!L:L,"Ouverte"))</f>
        <v/>
      </c>
      <c r="G418" s="84">
        <f>IF(A418="","",COUNTIFS(COMPOSANTS!B:B,A418,COMPOSANTS!G:G,"Défectueux"))</f>
        <v/>
      </c>
      <c r="H418" s="84">
        <f>IF(A418="","",IFERROR(VLOOKUP(A418,EQUIPEMENTS!A:R,18,0),""))</f>
        <v/>
      </c>
      <c r="I418" s="84">
        <f>IF(A418="","",IF(AND(C418="Haute",D418="En panne"),"🔴 CRITIQUE",IF(OR(E418&gt;0,F418&gt;0,G418&gt;0),"🟠 ATTENTION","🟢 OK")))</f>
        <v/>
      </c>
      <c r="J418" s="84">
        <f>IF(A418="","",IFERROR(VLOOKUP(A418,EQUIPEMENTS!A:Q,17,0),""))</f>
        <v/>
      </c>
      <c r="K418" s="84" t="n"/>
    </row>
    <row r="419" ht="15" customHeight="1" s="59">
      <c r="A419" s="87">
        <f>IFERROR(EQUIPEMENTS!A419,"")</f>
        <v/>
      </c>
      <c r="B419" s="87">
        <f>IF(A419="","",IFERROR(VLOOKUP(A419,EQUIPEMENTS!A:B,2,0),""))</f>
        <v/>
      </c>
      <c r="C419" s="87">
        <f>IF(A419="","",IFERROR(VLOOKUP(A419,EQUIPEMENTS!A:D,4,0),""))</f>
        <v/>
      </c>
      <c r="D419" s="87">
        <f>IF(A419="","",IFERROR(VLOOKUP(A419,EQUIPEMENTS!A:M,13,0),""))</f>
        <v/>
      </c>
      <c r="E419" s="87">
        <f>IF(A419="","",COUNTIFS(MAINT_PREV!B:B,A419,MAINT_PREV!G:G,"Planifiée",MAINT_PREV!E:E,"&lt;"&amp;TODAY(),MAINT_PREV!H:H,""))</f>
        <v/>
      </c>
      <c r="F419" s="87">
        <f>IF(A419="","",COUNTIFS(INTERVENTIONS!B:B,A419,INTERVENTIONS!L:L,"Ouverte"))</f>
        <v/>
      </c>
      <c r="G419" s="87">
        <f>IF(A419="","",COUNTIFS(COMPOSANTS!B:B,A419,COMPOSANTS!G:G,"Défectueux"))</f>
        <v/>
      </c>
      <c r="H419" s="87">
        <f>IF(A419="","",IFERROR(VLOOKUP(A419,EQUIPEMENTS!A:R,18,0),""))</f>
        <v/>
      </c>
      <c r="I419" s="87">
        <f>IF(A419="","",IF(AND(C419="Haute",D419="En panne"),"🔴 CRITIQUE",IF(OR(E419&gt;0,F419&gt;0,G419&gt;0),"🟠 ATTENTION","🟢 OK")))</f>
        <v/>
      </c>
      <c r="J419" s="87">
        <f>IF(A419="","",IFERROR(VLOOKUP(A419,EQUIPEMENTS!A:Q,17,0),""))</f>
        <v/>
      </c>
      <c r="K419" s="87" t="n"/>
    </row>
    <row r="420" ht="15" customHeight="1" s="59">
      <c r="A420" s="84">
        <f>IFERROR(EQUIPEMENTS!A420,"")</f>
        <v/>
      </c>
      <c r="B420" s="84">
        <f>IF(A420="","",IFERROR(VLOOKUP(A420,EQUIPEMENTS!A:B,2,0),""))</f>
        <v/>
      </c>
      <c r="C420" s="84">
        <f>IF(A420="","",IFERROR(VLOOKUP(A420,EQUIPEMENTS!A:D,4,0),""))</f>
        <v/>
      </c>
      <c r="D420" s="84">
        <f>IF(A420="","",IFERROR(VLOOKUP(A420,EQUIPEMENTS!A:M,13,0),""))</f>
        <v/>
      </c>
      <c r="E420" s="84">
        <f>IF(A420="","",COUNTIFS(MAINT_PREV!B:B,A420,MAINT_PREV!G:G,"Planifiée",MAINT_PREV!E:E,"&lt;"&amp;TODAY(),MAINT_PREV!H:H,""))</f>
        <v/>
      </c>
      <c r="F420" s="84">
        <f>IF(A420="","",COUNTIFS(INTERVENTIONS!B:B,A420,INTERVENTIONS!L:L,"Ouverte"))</f>
        <v/>
      </c>
      <c r="G420" s="84">
        <f>IF(A420="","",COUNTIFS(COMPOSANTS!B:B,A420,COMPOSANTS!G:G,"Défectueux"))</f>
        <v/>
      </c>
      <c r="H420" s="84">
        <f>IF(A420="","",IFERROR(VLOOKUP(A420,EQUIPEMENTS!A:R,18,0),""))</f>
        <v/>
      </c>
      <c r="I420" s="84">
        <f>IF(A420="","",IF(AND(C420="Haute",D420="En panne"),"🔴 CRITIQUE",IF(OR(E420&gt;0,F420&gt;0,G420&gt;0),"🟠 ATTENTION","🟢 OK")))</f>
        <v/>
      </c>
      <c r="J420" s="84">
        <f>IF(A420="","",IFERROR(VLOOKUP(A420,EQUIPEMENTS!A:Q,17,0),""))</f>
        <v/>
      </c>
      <c r="K420" s="84" t="n"/>
    </row>
    <row r="421" ht="15" customHeight="1" s="59">
      <c r="A421" s="87">
        <f>IFERROR(EQUIPEMENTS!A421,"")</f>
        <v/>
      </c>
      <c r="B421" s="87">
        <f>IF(A421="","",IFERROR(VLOOKUP(A421,EQUIPEMENTS!A:B,2,0),""))</f>
        <v/>
      </c>
      <c r="C421" s="87">
        <f>IF(A421="","",IFERROR(VLOOKUP(A421,EQUIPEMENTS!A:D,4,0),""))</f>
        <v/>
      </c>
      <c r="D421" s="87">
        <f>IF(A421="","",IFERROR(VLOOKUP(A421,EQUIPEMENTS!A:M,13,0),""))</f>
        <v/>
      </c>
      <c r="E421" s="87">
        <f>IF(A421="","",COUNTIFS(MAINT_PREV!B:B,A421,MAINT_PREV!G:G,"Planifiée",MAINT_PREV!E:E,"&lt;"&amp;TODAY(),MAINT_PREV!H:H,""))</f>
        <v/>
      </c>
      <c r="F421" s="87">
        <f>IF(A421="","",COUNTIFS(INTERVENTIONS!B:B,A421,INTERVENTIONS!L:L,"Ouverte"))</f>
        <v/>
      </c>
      <c r="G421" s="87">
        <f>IF(A421="","",COUNTIFS(COMPOSANTS!B:B,A421,COMPOSANTS!G:G,"Défectueux"))</f>
        <v/>
      </c>
      <c r="H421" s="87">
        <f>IF(A421="","",IFERROR(VLOOKUP(A421,EQUIPEMENTS!A:R,18,0),""))</f>
        <v/>
      </c>
      <c r="I421" s="87">
        <f>IF(A421="","",IF(AND(C421="Haute",D421="En panne"),"🔴 CRITIQUE",IF(OR(E421&gt;0,F421&gt;0,G421&gt;0),"🟠 ATTENTION","🟢 OK")))</f>
        <v/>
      </c>
      <c r="J421" s="87">
        <f>IF(A421="","",IFERROR(VLOOKUP(A421,EQUIPEMENTS!A:Q,17,0),""))</f>
        <v/>
      </c>
      <c r="K421" s="87" t="n"/>
    </row>
    <row r="422" ht="15" customHeight="1" s="59">
      <c r="A422" s="84">
        <f>IFERROR(EQUIPEMENTS!A422,"")</f>
        <v/>
      </c>
      <c r="B422" s="84">
        <f>IF(A422="","",IFERROR(VLOOKUP(A422,EQUIPEMENTS!A:B,2,0),""))</f>
        <v/>
      </c>
      <c r="C422" s="84">
        <f>IF(A422="","",IFERROR(VLOOKUP(A422,EQUIPEMENTS!A:D,4,0),""))</f>
        <v/>
      </c>
      <c r="D422" s="84">
        <f>IF(A422="","",IFERROR(VLOOKUP(A422,EQUIPEMENTS!A:M,13,0),""))</f>
        <v/>
      </c>
      <c r="E422" s="84">
        <f>IF(A422="","",COUNTIFS(MAINT_PREV!B:B,A422,MAINT_PREV!G:G,"Planifiée",MAINT_PREV!E:E,"&lt;"&amp;TODAY(),MAINT_PREV!H:H,""))</f>
        <v/>
      </c>
      <c r="F422" s="84">
        <f>IF(A422="","",COUNTIFS(INTERVENTIONS!B:B,A422,INTERVENTIONS!L:L,"Ouverte"))</f>
        <v/>
      </c>
      <c r="G422" s="84">
        <f>IF(A422="","",COUNTIFS(COMPOSANTS!B:B,A422,COMPOSANTS!G:G,"Défectueux"))</f>
        <v/>
      </c>
      <c r="H422" s="84">
        <f>IF(A422="","",IFERROR(VLOOKUP(A422,EQUIPEMENTS!A:R,18,0),""))</f>
        <v/>
      </c>
      <c r="I422" s="84">
        <f>IF(A422="","",IF(AND(C422="Haute",D422="En panne"),"🔴 CRITIQUE",IF(OR(E422&gt;0,F422&gt;0,G422&gt;0),"🟠 ATTENTION","🟢 OK")))</f>
        <v/>
      </c>
      <c r="J422" s="84">
        <f>IF(A422="","",IFERROR(VLOOKUP(A422,EQUIPEMENTS!A:Q,17,0),""))</f>
        <v/>
      </c>
      <c r="K422" s="84" t="n"/>
    </row>
    <row r="423" ht="15" customHeight="1" s="59">
      <c r="A423" s="87">
        <f>IFERROR(EQUIPEMENTS!A423,"")</f>
        <v/>
      </c>
      <c r="B423" s="87">
        <f>IF(A423="","",IFERROR(VLOOKUP(A423,EQUIPEMENTS!A:B,2,0),""))</f>
        <v/>
      </c>
      <c r="C423" s="87">
        <f>IF(A423="","",IFERROR(VLOOKUP(A423,EQUIPEMENTS!A:D,4,0),""))</f>
        <v/>
      </c>
      <c r="D423" s="87">
        <f>IF(A423="","",IFERROR(VLOOKUP(A423,EQUIPEMENTS!A:M,13,0),""))</f>
        <v/>
      </c>
      <c r="E423" s="87">
        <f>IF(A423="","",COUNTIFS(MAINT_PREV!B:B,A423,MAINT_PREV!G:G,"Planifiée",MAINT_PREV!E:E,"&lt;"&amp;TODAY(),MAINT_PREV!H:H,""))</f>
        <v/>
      </c>
      <c r="F423" s="87">
        <f>IF(A423="","",COUNTIFS(INTERVENTIONS!B:B,A423,INTERVENTIONS!L:L,"Ouverte"))</f>
        <v/>
      </c>
      <c r="G423" s="87">
        <f>IF(A423="","",COUNTIFS(COMPOSANTS!B:B,A423,COMPOSANTS!G:G,"Défectueux"))</f>
        <v/>
      </c>
      <c r="H423" s="87">
        <f>IF(A423="","",IFERROR(VLOOKUP(A423,EQUIPEMENTS!A:R,18,0),""))</f>
        <v/>
      </c>
      <c r="I423" s="87">
        <f>IF(A423="","",IF(AND(C423="Haute",D423="En panne"),"🔴 CRITIQUE",IF(OR(E423&gt;0,F423&gt;0,G423&gt;0),"🟠 ATTENTION","🟢 OK")))</f>
        <v/>
      </c>
      <c r="J423" s="87">
        <f>IF(A423="","",IFERROR(VLOOKUP(A423,EQUIPEMENTS!A:Q,17,0),""))</f>
        <v/>
      </c>
      <c r="K423" s="87" t="n"/>
    </row>
    <row r="424" ht="15" customHeight="1" s="59">
      <c r="A424" s="84">
        <f>IFERROR(EQUIPEMENTS!A424,"")</f>
        <v/>
      </c>
      <c r="B424" s="84">
        <f>IF(A424="","",IFERROR(VLOOKUP(A424,EQUIPEMENTS!A:B,2,0),""))</f>
        <v/>
      </c>
      <c r="C424" s="84">
        <f>IF(A424="","",IFERROR(VLOOKUP(A424,EQUIPEMENTS!A:D,4,0),""))</f>
        <v/>
      </c>
      <c r="D424" s="84">
        <f>IF(A424="","",IFERROR(VLOOKUP(A424,EQUIPEMENTS!A:M,13,0),""))</f>
        <v/>
      </c>
      <c r="E424" s="84">
        <f>IF(A424="","",COUNTIFS(MAINT_PREV!B:B,A424,MAINT_PREV!G:G,"Planifiée",MAINT_PREV!E:E,"&lt;"&amp;TODAY(),MAINT_PREV!H:H,""))</f>
        <v/>
      </c>
      <c r="F424" s="84">
        <f>IF(A424="","",COUNTIFS(INTERVENTIONS!B:B,A424,INTERVENTIONS!L:L,"Ouverte"))</f>
        <v/>
      </c>
      <c r="G424" s="84">
        <f>IF(A424="","",COUNTIFS(COMPOSANTS!B:B,A424,COMPOSANTS!G:G,"Défectueux"))</f>
        <v/>
      </c>
      <c r="H424" s="84">
        <f>IF(A424="","",IFERROR(VLOOKUP(A424,EQUIPEMENTS!A:R,18,0),""))</f>
        <v/>
      </c>
      <c r="I424" s="84">
        <f>IF(A424="","",IF(AND(C424="Haute",D424="En panne"),"🔴 CRITIQUE",IF(OR(E424&gt;0,F424&gt;0,G424&gt;0),"🟠 ATTENTION","🟢 OK")))</f>
        <v/>
      </c>
      <c r="J424" s="84">
        <f>IF(A424="","",IFERROR(VLOOKUP(A424,EQUIPEMENTS!A:Q,17,0),""))</f>
        <v/>
      </c>
      <c r="K424" s="84" t="n"/>
    </row>
    <row r="425" ht="15" customHeight="1" s="59">
      <c r="A425" s="87">
        <f>IFERROR(EQUIPEMENTS!A425,"")</f>
        <v/>
      </c>
      <c r="B425" s="87">
        <f>IF(A425="","",IFERROR(VLOOKUP(A425,EQUIPEMENTS!A:B,2,0),""))</f>
        <v/>
      </c>
      <c r="C425" s="87">
        <f>IF(A425="","",IFERROR(VLOOKUP(A425,EQUIPEMENTS!A:D,4,0),""))</f>
        <v/>
      </c>
      <c r="D425" s="87">
        <f>IF(A425="","",IFERROR(VLOOKUP(A425,EQUIPEMENTS!A:M,13,0),""))</f>
        <v/>
      </c>
      <c r="E425" s="87">
        <f>IF(A425="","",COUNTIFS(MAINT_PREV!B:B,A425,MAINT_PREV!G:G,"Planifiée",MAINT_PREV!E:E,"&lt;"&amp;TODAY(),MAINT_PREV!H:H,""))</f>
        <v/>
      </c>
      <c r="F425" s="87">
        <f>IF(A425="","",COUNTIFS(INTERVENTIONS!B:B,A425,INTERVENTIONS!L:L,"Ouverte"))</f>
        <v/>
      </c>
      <c r="G425" s="87">
        <f>IF(A425="","",COUNTIFS(COMPOSANTS!B:B,A425,COMPOSANTS!G:G,"Défectueux"))</f>
        <v/>
      </c>
      <c r="H425" s="87">
        <f>IF(A425="","",IFERROR(VLOOKUP(A425,EQUIPEMENTS!A:R,18,0),""))</f>
        <v/>
      </c>
      <c r="I425" s="87">
        <f>IF(A425="","",IF(AND(C425="Haute",D425="En panne"),"🔴 CRITIQUE",IF(OR(E425&gt;0,F425&gt;0,G425&gt;0),"🟠 ATTENTION","🟢 OK")))</f>
        <v/>
      </c>
      <c r="J425" s="87">
        <f>IF(A425="","",IFERROR(VLOOKUP(A425,EQUIPEMENTS!A:Q,17,0),""))</f>
        <v/>
      </c>
      <c r="K425" s="87" t="n"/>
    </row>
    <row r="426" ht="15" customHeight="1" s="59">
      <c r="A426" s="84">
        <f>IFERROR(EQUIPEMENTS!A426,"")</f>
        <v/>
      </c>
      <c r="B426" s="84">
        <f>IF(A426="","",IFERROR(VLOOKUP(A426,EQUIPEMENTS!A:B,2,0),""))</f>
        <v/>
      </c>
      <c r="C426" s="84">
        <f>IF(A426="","",IFERROR(VLOOKUP(A426,EQUIPEMENTS!A:D,4,0),""))</f>
        <v/>
      </c>
      <c r="D426" s="84">
        <f>IF(A426="","",IFERROR(VLOOKUP(A426,EQUIPEMENTS!A:M,13,0),""))</f>
        <v/>
      </c>
      <c r="E426" s="84">
        <f>IF(A426="","",COUNTIFS(MAINT_PREV!B:B,A426,MAINT_PREV!G:G,"Planifiée",MAINT_PREV!E:E,"&lt;"&amp;TODAY(),MAINT_PREV!H:H,""))</f>
        <v/>
      </c>
      <c r="F426" s="84">
        <f>IF(A426="","",COUNTIFS(INTERVENTIONS!B:B,A426,INTERVENTIONS!L:L,"Ouverte"))</f>
        <v/>
      </c>
      <c r="G426" s="84">
        <f>IF(A426="","",COUNTIFS(COMPOSANTS!B:B,A426,COMPOSANTS!G:G,"Défectueux"))</f>
        <v/>
      </c>
      <c r="H426" s="84">
        <f>IF(A426="","",IFERROR(VLOOKUP(A426,EQUIPEMENTS!A:R,18,0),""))</f>
        <v/>
      </c>
      <c r="I426" s="84">
        <f>IF(A426="","",IF(AND(C426="Haute",D426="En panne"),"🔴 CRITIQUE",IF(OR(E426&gt;0,F426&gt;0,G426&gt;0),"🟠 ATTENTION","🟢 OK")))</f>
        <v/>
      </c>
      <c r="J426" s="84">
        <f>IF(A426="","",IFERROR(VLOOKUP(A426,EQUIPEMENTS!A:Q,17,0),""))</f>
        <v/>
      </c>
      <c r="K426" s="84" t="n"/>
    </row>
    <row r="427" ht="15" customHeight="1" s="59">
      <c r="A427" s="87">
        <f>IFERROR(EQUIPEMENTS!A427,"")</f>
        <v/>
      </c>
      <c r="B427" s="87">
        <f>IF(A427="","",IFERROR(VLOOKUP(A427,EQUIPEMENTS!A:B,2,0),""))</f>
        <v/>
      </c>
      <c r="C427" s="87">
        <f>IF(A427="","",IFERROR(VLOOKUP(A427,EQUIPEMENTS!A:D,4,0),""))</f>
        <v/>
      </c>
      <c r="D427" s="87">
        <f>IF(A427="","",IFERROR(VLOOKUP(A427,EQUIPEMENTS!A:M,13,0),""))</f>
        <v/>
      </c>
      <c r="E427" s="87">
        <f>IF(A427="","",COUNTIFS(MAINT_PREV!B:B,A427,MAINT_PREV!G:G,"Planifiée",MAINT_PREV!E:E,"&lt;"&amp;TODAY(),MAINT_PREV!H:H,""))</f>
        <v/>
      </c>
      <c r="F427" s="87">
        <f>IF(A427="","",COUNTIFS(INTERVENTIONS!B:B,A427,INTERVENTIONS!L:L,"Ouverte"))</f>
        <v/>
      </c>
      <c r="G427" s="87">
        <f>IF(A427="","",COUNTIFS(COMPOSANTS!B:B,A427,COMPOSANTS!G:G,"Défectueux"))</f>
        <v/>
      </c>
      <c r="H427" s="87">
        <f>IF(A427="","",IFERROR(VLOOKUP(A427,EQUIPEMENTS!A:R,18,0),""))</f>
        <v/>
      </c>
      <c r="I427" s="87">
        <f>IF(A427="","",IF(AND(C427="Haute",D427="En panne"),"🔴 CRITIQUE",IF(OR(E427&gt;0,F427&gt;0,G427&gt;0),"🟠 ATTENTION","🟢 OK")))</f>
        <v/>
      </c>
      <c r="J427" s="87">
        <f>IF(A427="","",IFERROR(VLOOKUP(A427,EQUIPEMENTS!A:Q,17,0),""))</f>
        <v/>
      </c>
      <c r="K427" s="87" t="n"/>
    </row>
    <row r="428" ht="15" customHeight="1" s="59">
      <c r="A428" s="84">
        <f>IFERROR(EQUIPEMENTS!A428,"")</f>
        <v/>
      </c>
      <c r="B428" s="84">
        <f>IF(A428="","",IFERROR(VLOOKUP(A428,EQUIPEMENTS!A:B,2,0),""))</f>
        <v/>
      </c>
      <c r="C428" s="84">
        <f>IF(A428="","",IFERROR(VLOOKUP(A428,EQUIPEMENTS!A:D,4,0),""))</f>
        <v/>
      </c>
      <c r="D428" s="84">
        <f>IF(A428="","",IFERROR(VLOOKUP(A428,EQUIPEMENTS!A:M,13,0),""))</f>
        <v/>
      </c>
      <c r="E428" s="84">
        <f>IF(A428="","",COUNTIFS(MAINT_PREV!B:B,A428,MAINT_PREV!G:G,"Planifiée",MAINT_PREV!E:E,"&lt;"&amp;TODAY(),MAINT_PREV!H:H,""))</f>
        <v/>
      </c>
      <c r="F428" s="84">
        <f>IF(A428="","",COUNTIFS(INTERVENTIONS!B:B,A428,INTERVENTIONS!L:L,"Ouverte"))</f>
        <v/>
      </c>
      <c r="G428" s="84">
        <f>IF(A428="","",COUNTIFS(COMPOSANTS!B:B,A428,COMPOSANTS!G:G,"Défectueux"))</f>
        <v/>
      </c>
      <c r="H428" s="84">
        <f>IF(A428="","",IFERROR(VLOOKUP(A428,EQUIPEMENTS!A:R,18,0),""))</f>
        <v/>
      </c>
      <c r="I428" s="84">
        <f>IF(A428="","",IF(AND(C428="Haute",D428="En panne"),"🔴 CRITIQUE",IF(OR(E428&gt;0,F428&gt;0,G428&gt;0),"🟠 ATTENTION","🟢 OK")))</f>
        <v/>
      </c>
      <c r="J428" s="84">
        <f>IF(A428="","",IFERROR(VLOOKUP(A428,EQUIPEMENTS!A:Q,17,0),""))</f>
        <v/>
      </c>
      <c r="K428" s="84" t="n"/>
    </row>
    <row r="429" ht="15" customHeight="1" s="59">
      <c r="A429" s="87">
        <f>IFERROR(EQUIPEMENTS!A429,"")</f>
        <v/>
      </c>
      <c r="B429" s="87">
        <f>IF(A429="","",IFERROR(VLOOKUP(A429,EQUIPEMENTS!A:B,2,0),""))</f>
        <v/>
      </c>
      <c r="C429" s="87">
        <f>IF(A429="","",IFERROR(VLOOKUP(A429,EQUIPEMENTS!A:D,4,0),""))</f>
        <v/>
      </c>
      <c r="D429" s="87">
        <f>IF(A429="","",IFERROR(VLOOKUP(A429,EQUIPEMENTS!A:M,13,0),""))</f>
        <v/>
      </c>
      <c r="E429" s="87">
        <f>IF(A429="","",COUNTIFS(MAINT_PREV!B:B,A429,MAINT_PREV!G:G,"Planifiée",MAINT_PREV!E:E,"&lt;"&amp;TODAY(),MAINT_PREV!H:H,""))</f>
        <v/>
      </c>
      <c r="F429" s="87">
        <f>IF(A429="","",COUNTIFS(INTERVENTIONS!B:B,A429,INTERVENTIONS!L:L,"Ouverte"))</f>
        <v/>
      </c>
      <c r="G429" s="87">
        <f>IF(A429="","",COUNTIFS(COMPOSANTS!B:B,A429,COMPOSANTS!G:G,"Défectueux"))</f>
        <v/>
      </c>
      <c r="H429" s="87">
        <f>IF(A429="","",IFERROR(VLOOKUP(A429,EQUIPEMENTS!A:R,18,0),""))</f>
        <v/>
      </c>
      <c r="I429" s="87">
        <f>IF(A429="","",IF(AND(C429="Haute",D429="En panne"),"🔴 CRITIQUE",IF(OR(E429&gt;0,F429&gt;0,G429&gt;0),"🟠 ATTENTION","🟢 OK")))</f>
        <v/>
      </c>
      <c r="J429" s="87">
        <f>IF(A429="","",IFERROR(VLOOKUP(A429,EQUIPEMENTS!A:Q,17,0),""))</f>
        <v/>
      </c>
      <c r="K429" s="87" t="n"/>
    </row>
    <row r="430" ht="15" customHeight="1" s="59">
      <c r="A430" s="84">
        <f>IFERROR(EQUIPEMENTS!A430,"")</f>
        <v/>
      </c>
      <c r="B430" s="84">
        <f>IF(A430="","",IFERROR(VLOOKUP(A430,EQUIPEMENTS!A:B,2,0),""))</f>
        <v/>
      </c>
      <c r="C430" s="84">
        <f>IF(A430="","",IFERROR(VLOOKUP(A430,EQUIPEMENTS!A:D,4,0),""))</f>
        <v/>
      </c>
      <c r="D430" s="84">
        <f>IF(A430="","",IFERROR(VLOOKUP(A430,EQUIPEMENTS!A:M,13,0),""))</f>
        <v/>
      </c>
      <c r="E430" s="84">
        <f>IF(A430="","",COUNTIFS(MAINT_PREV!B:B,A430,MAINT_PREV!G:G,"Planifiée",MAINT_PREV!E:E,"&lt;"&amp;TODAY(),MAINT_PREV!H:H,""))</f>
        <v/>
      </c>
      <c r="F430" s="84">
        <f>IF(A430="","",COUNTIFS(INTERVENTIONS!B:B,A430,INTERVENTIONS!L:L,"Ouverte"))</f>
        <v/>
      </c>
      <c r="G430" s="84">
        <f>IF(A430="","",COUNTIFS(COMPOSANTS!B:B,A430,COMPOSANTS!G:G,"Défectueux"))</f>
        <v/>
      </c>
      <c r="H430" s="84">
        <f>IF(A430="","",IFERROR(VLOOKUP(A430,EQUIPEMENTS!A:R,18,0),""))</f>
        <v/>
      </c>
      <c r="I430" s="84">
        <f>IF(A430="","",IF(AND(C430="Haute",D430="En panne"),"🔴 CRITIQUE",IF(OR(E430&gt;0,F430&gt;0,G430&gt;0),"🟠 ATTENTION","🟢 OK")))</f>
        <v/>
      </c>
      <c r="J430" s="84">
        <f>IF(A430="","",IFERROR(VLOOKUP(A430,EQUIPEMENTS!A:Q,17,0),""))</f>
        <v/>
      </c>
      <c r="K430" s="84" t="n"/>
    </row>
    <row r="431" ht="15" customHeight="1" s="59">
      <c r="A431" s="87">
        <f>IFERROR(EQUIPEMENTS!A431,"")</f>
        <v/>
      </c>
      <c r="B431" s="87">
        <f>IF(A431="","",IFERROR(VLOOKUP(A431,EQUIPEMENTS!A:B,2,0),""))</f>
        <v/>
      </c>
      <c r="C431" s="87">
        <f>IF(A431="","",IFERROR(VLOOKUP(A431,EQUIPEMENTS!A:D,4,0),""))</f>
        <v/>
      </c>
      <c r="D431" s="87">
        <f>IF(A431="","",IFERROR(VLOOKUP(A431,EQUIPEMENTS!A:M,13,0),""))</f>
        <v/>
      </c>
      <c r="E431" s="87">
        <f>IF(A431="","",COUNTIFS(MAINT_PREV!B:B,A431,MAINT_PREV!G:G,"Planifiée",MAINT_PREV!E:E,"&lt;"&amp;TODAY(),MAINT_PREV!H:H,""))</f>
        <v/>
      </c>
      <c r="F431" s="87">
        <f>IF(A431="","",COUNTIFS(INTERVENTIONS!B:B,A431,INTERVENTIONS!L:L,"Ouverte"))</f>
        <v/>
      </c>
      <c r="G431" s="87">
        <f>IF(A431="","",COUNTIFS(COMPOSANTS!B:B,A431,COMPOSANTS!G:G,"Défectueux"))</f>
        <v/>
      </c>
      <c r="H431" s="87">
        <f>IF(A431="","",IFERROR(VLOOKUP(A431,EQUIPEMENTS!A:R,18,0),""))</f>
        <v/>
      </c>
      <c r="I431" s="87">
        <f>IF(A431="","",IF(AND(C431="Haute",D431="En panne"),"🔴 CRITIQUE",IF(OR(E431&gt;0,F431&gt;0,G431&gt;0),"🟠 ATTENTION","🟢 OK")))</f>
        <v/>
      </c>
      <c r="J431" s="87">
        <f>IF(A431="","",IFERROR(VLOOKUP(A431,EQUIPEMENTS!A:Q,17,0),""))</f>
        <v/>
      </c>
      <c r="K431" s="87" t="n"/>
    </row>
    <row r="432" ht="15" customHeight="1" s="59">
      <c r="A432" s="84">
        <f>IFERROR(EQUIPEMENTS!A432,"")</f>
        <v/>
      </c>
      <c r="B432" s="84">
        <f>IF(A432="","",IFERROR(VLOOKUP(A432,EQUIPEMENTS!A:B,2,0),""))</f>
        <v/>
      </c>
      <c r="C432" s="84">
        <f>IF(A432="","",IFERROR(VLOOKUP(A432,EQUIPEMENTS!A:D,4,0),""))</f>
        <v/>
      </c>
      <c r="D432" s="84">
        <f>IF(A432="","",IFERROR(VLOOKUP(A432,EQUIPEMENTS!A:M,13,0),""))</f>
        <v/>
      </c>
      <c r="E432" s="84">
        <f>IF(A432="","",COUNTIFS(MAINT_PREV!B:B,A432,MAINT_PREV!G:G,"Planifiée",MAINT_PREV!E:E,"&lt;"&amp;TODAY(),MAINT_PREV!H:H,""))</f>
        <v/>
      </c>
      <c r="F432" s="84">
        <f>IF(A432="","",COUNTIFS(INTERVENTIONS!B:B,A432,INTERVENTIONS!L:L,"Ouverte"))</f>
        <v/>
      </c>
      <c r="G432" s="84">
        <f>IF(A432="","",COUNTIFS(COMPOSANTS!B:B,A432,COMPOSANTS!G:G,"Défectueux"))</f>
        <v/>
      </c>
      <c r="H432" s="84">
        <f>IF(A432="","",IFERROR(VLOOKUP(A432,EQUIPEMENTS!A:R,18,0),""))</f>
        <v/>
      </c>
      <c r="I432" s="84">
        <f>IF(A432="","",IF(AND(C432="Haute",D432="En panne"),"🔴 CRITIQUE",IF(OR(E432&gt;0,F432&gt;0,G432&gt;0),"🟠 ATTENTION","🟢 OK")))</f>
        <v/>
      </c>
      <c r="J432" s="84">
        <f>IF(A432="","",IFERROR(VLOOKUP(A432,EQUIPEMENTS!A:Q,17,0),""))</f>
        <v/>
      </c>
      <c r="K432" s="84" t="n"/>
    </row>
    <row r="433" ht="15" customHeight="1" s="59">
      <c r="A433" s="87">
        <f>IFERROR(EQUIPEMENTS!A433,"")</f>
        <v/>
      </c>
      <c r="B433" s="87">
        <f>IF(A433="","",IFERROR(VLOOKUP(A433,EQUIPEMENTS!A:B,2,0),""))</f>
        <v/>
      </c>
      <c r="C433" s="87">
        <f>IF(A433="","",IFERROR(VLOOKUP(A433,EQUIPEMENTS!A:D,4,0),""))</f>
        <v/>
      </c>
      <c r="D433" s="87">
        <f>IF(A433="","",IFERROR(VLOOKUP(A433,EQUIPEMENTS!A:M,13,0),""))</f>
        <v/>
      </c>
      <c r="E433" s="87">
        <f>IF(A433="","",COUNTIFS(MAINT_PREV!B:B,A433,MAINT_PREV!G:G,"Planifiée",MAINT_PREV!E:E,"&lt;"&amp;TODAY(),MAINT_PREV!H:H,""))</f>
        <v/>
      </c>
      <c r="F433" s="87">
        <f>IF(A433="","",COUNTIFS(INTERVENTIONS!B:B,A433,INTERVENTIONS!L:L,"Ouverte"))</f>
        <v/>
      </c>
      <c r="G433" s="87">
        <f>IF(A433="","",COUNTIFS(COMPOSANTS!B:B,A433,COMPOSANTS!G:G,"Défectueux"))</f>
        <v/>
      </c>
      <c r="H433" s="87">
        <f>IF(A433="","",IFERROR(VLOOKUP(A433,EQUIPEMENTS!A:R,18,0),""))</f>
        <v/>
      </c>
      <c r="I433" s="87">
        <f>IF(A433="","",IF(AND(C433="Haute",D433="En panne"),"🔴 CRITIQUE",IF(OR(E433&gt;0,F433&gt;0,G433&gt;0),"🟠 ATTENTION","🟢 OK")))</f>
        <v/>
      </c>
      <c r="J433" s="87">
        <f>IF(A433="","",IFERROR(VLOOKUP(A433,EQUIPEMENTS!A:Q,17,0),""))</f>
        <v/>
      </c>
      <c r="K433" s="87" t="n"/>
    </row>
    <row r="434" ht="15" customHeight="1" s="59">
      <c r="A434" s="84">
        <f>IFERROR(EQUIPEMENTS!A434,"")</f>
        <v/>
      </c>
      <c r="B434" s="84">
        <f>IF(A434="","",IFERROR(VLOOKUP(A434,EQUIPEMENTS!A:B,2,0),""))</f>
        <v/>
      </c>
      <c r="C434" s="84">
        <f>IF(A434="","",IFERROR(VLOOKUP(A434,EQUIPEMENTS!A:D,4,0),""))</f>
        <v/>
      </c>
      <c r="D434" s="84">
        <f>IF(A434="","",IFERROR(VLOOKUP(A434,EQUIPEMENTS!A:M,13,0),""))</f>
        <v/>
      </c>
      <c r="E434" s="84">
        <f>IF(A434="","",COUNTIFS(MAINT_PREV!B:B,A434,MAINT_PREV!G:G,"Planifiée",MAINT_PREV!E:E,"&lt;"&amp;TODAY(),MAINT_PREV!H:H,""))</f>
        <v/>
      </c>
      <c r="F434" s="84">
        <f>IF(A434="","",COUNTIFS(INTERVENTIONS!B:B,A434,INTERVENTIONS!L:L,"Ouverte"))</f>
        <v/>
      </c>
      <c r="G434" s="84">
        <f>IF(A434="","",COUNTIFS(COMPOSANTS!B:B,A434,COMPOSANTS!G:G,"Défectueux"))</f>
        <v/>
      </c>
      <c r="H434" s="84">
        <f>IF(A434="","",IFERROR(VLOOKUP(A434,EQUIPEMENTS!A:R,18,0),""))</f>
        <v/>
      </c>
      <c r="I434" s="84">
        <f>IF(A434="","",IF(AND(C434="Haute",D434="En panne"),"🔴 CRITIQUE",IF(OR(E434&gt;0,F434&gt;0,G434&gt;0),"🟠 ATTENTION","🟢 OK")))</f>
        <v/>
      </c>
      <c r="J434" s="84">
        <f>IF(A434="","",IFERROR(VLOOKUP(A434,EQUIPEMENTS!A:Q,17,0),""))</f>
        <v/>
      </c>
      <c r="K434" s="84" t="n"/>
    </row>
    <row r="435" ht="15" customHeight="1" s="59">
      <c r="A435" s="87">
        <f>IFERROR(EQUIPEMENTS!A435,"")</f>
        <v/>
      </c>
      <c r="B435" s="87">
        <f>IF(A435="","",IFERROR(VLOOKUP(A435,EQUIPEMENTS!A:B,2,0),""))</f>
        <v/>
      </c>
      <c r="C435" s="87">
        <f>IF(A435="","",IFERROR(VLOOKUP(A435,EQUIPEMENTS!A:D,4,0),""))</f>
        <v/>
      </c>
      <c r="D435" s="87">
        <f>IF(A435="","",IFERROR(VLOOKUP(A435,EQUIPEMENTS!A:M,13,0),""))</f>
        <v/>
      </c>
      <c r="E435" s="87">
        <f>IF(A435="","",COUNTIFS(MAINT_PREV!B:B,A435,MAINT_PREV!G:G,"Planifiée",MAINT_PREV!E:E,"&lt;"&amp;TODAY(),MAINT_PREV!H:H,""))</f>
        <v/>
      </c>
      <c r="F435" s="87">
        <f>IF(A435="","",COUNTIFS(INTERVENTIONS!B:B,A435,INTERVENTIONS!L:L,"Ouverte"))</f>
        <v/>
      </c>
      <c r="G435" s="87">
        <f>IF(A435="","",COUNTIFS(COMPOSANTS!B:B,A435,COMPOSANTS!G:G,"Défectueux"))</f>
        <v/>
      </c>
      <c r="H435" s="87">
        <f>IF(A435="","",IFERROR(VLOOKUP(A435,EQUIPEMENTS!A:R,18,0),""))</f>
        <v/>
      </c>
      <c r="I435" s="87">
        <f>IF(A435="","",IF(AND(C435="Haute",D435="En panne"),"🔴 CRITIQUE",IF(OR(E435&gt;0,F435&gt;0,G435&gt;0),"🟠 ATTENTION","🟢 OK")))</f>
        <v/>
      </c>
      <c r="J435" s="87">
        <f>IF(A435="","",IFERROR(VLOOKUP(A435,EQUIPEMENTS!A:Q,17,0),""))</f>
        <v/>
      </c>
      <c r="K435" s="87" t="n"/>
    </row>
    <row r="436" ht="15" customHeight="1" s="59">
      <c r="A436" s="84">
        <f>IFERROR(EQUIPEMENTS!A436,"")</f>
        <v/>
      </c>
      <c r="B436" s="84">
        <f>IF(A436="","",IFERROR(VLOOKUP(A436,EQUIPEMENTS!A:B,2,0),""))</f>
        <v/>
      </c>
      <c r="C436" s="84">
        <f>IF(A436="","",IFERROR(VLOOKUP(A436,EQUIPEMENTS!A:D,4,0),""))</f>
        <v/>
      </c>
      <c r="D436" s="84">
        <f>IF(A436="","",IFERROR(VLOOKUP(A436,EQUIPEMENTS!A:M,13,0),""))</f>
        <v/>
      </c>
      <c r="E436" s="84">
        <f>IF(A436="","",COUNTIFS(MAINT_PREV!B:B,A436,MAINT_PREV!G:G,"Planifiée",MAINT_PREV!E:E,"&lt;"&amp;TODAY(),MAINT_PREV!H:H,""))</f>
        <v/>
      </c>
      <c r="F436" s="84">
        <f>IF(A436="","",COUNTIFS(INTERVENTIONS!B:B,A436,INTERVENTIONS!L:L,"Ouverte"))</f>
        <v/>
      </c>
      <c r="G436" s="84">
        <f>IF(A436="","",COUNTIFS(COMPOSANTS!B:B,A436,COMPOSANTS!G:G,"Défectueux"))</f>
        <v/>
      </c>
      <c r="H436" s="84">
        <f>IF(A436="","",IFERROR(VLOOKUP(A436,EQUIPEMENTS!A:R,18,0),""))</f>
        <v/>
      </c>
      <c r="I436" s="84">
        <f>IF(A436="","",IF(AND(C436="Haute",D436="En panne"),"🔴 CRITIQUE",IF(OR(E436&gt;0,F436&gt;0,G436&gt;0),"🟠 ATTENTION","🟢 OK")))</f>
        <v/>
      </c>
      <c r="J436" s="84">
        <f>IF(A436="","",IFERROR(VLOOKUP(A436,EQUIPEMENTS!A:Q,17,0),""))</f>
        <v/>
      </c>
      <c r="K436" s="84" t="n"/>
    </row>
    <row r="437" ht="15" customHeight="1" s="59">
      <c r="A437" s="87">
        <f>IFERROR(EQUIPEMENTS!A437,"")</f>
        <v/>
      </c>
      <c r="B437" s="87">
        <f>IF(A437="","",IFERROR(VLOOKUP(A437,EQUIPEMENTS!A:B,2,0),""))</f>
        <v/>
      </c>
      <c r="C437" s="87">
        <f>IF(A437="","",IFERROR(VLOOKUP(A437,EQUIPEMENTS!A:D,4,0),""))</f>
        <v/>
      </c>
      <c r="D437" s="87">
        <f>IF(A437="","",IFERROR(VLOOKUP(A437,EQUIPEMENTS!A:M,13,0),""))</f>
        <v/>
      </c>
      <c r="E437" s="87">
        <f>IF(A437="","",COUNTIFS(MAINT_PREV!B:B,A437,MAINT_PREV!G:G,"Planifiée",MAINT_PREV!E:E,"&lt;"&amp;TODAY(),MAINT_PREV!H:H,""))</f>
        <v/>
      </c>
      <c r="F437" s="87">
        <f>IF(A437="","",COUNTIFS(INTERVENTIONS!B:B,A437,INTERVENTIONS!L:L,"Ouverte"))</f>
        <v/>
      </c>
      <c r="G437" s="87">
        <f>IF(A437="","",COUNTIFS(COMPOSANTS!B:B,A437,COMPOSANTS!G:G,"Défectueux"))</f>
        <v/>
      </c>
      <c r="H437" s="87">
        <f>IF(A437="","",IFERROR(VLOOKUP(A437,EQUIPEMENTS!A:R,18,0),""))</f>
        <v/>
      </c>
      <c r="I437" s="87">
        <f>IF(A437="","",IF(AND(C437="Haute",D437="En panne"),"🔴 CRITIQUE",IF(OR(E437&gt;0,F437&gt;0,G437&gt;0),"🟠 ATTENTION","🟢 OK")))</f>
        <v/>
      </c>
      <c r="J437" s="87">
        <f>IF(A437="","",IFERROR(VLOOKUP(A437,EQUIPEMENTS!A:Q,17,0),""))</f>
        <v/>
      </c>
      <c r="K437" s="87" t="n"/>
    </row>
    <row r="438" ht="15" customHeight="1" s="59">
      <c r="A438" s="84">
        <f>IFERROR(EQUIPEMENTS!A438,"")</f>
        <v/>
      </c>
      <c r="B438" s="84">
        <f>IF(A438="","",IFERROR(VLOOKUP(A438,EQUIPEMENTS!A:B,2,0),""))</f>
        <v/>
      </c>
      <c r="C438" s="84">
        <f>IF(A438="","",IFERROR(VLOOKUP(A438,EQUIPEMENTS!A:D,4,0),""))</f>
        <v/>
      </c>
      <c r="D438" s="84">
        <f>IF(A438="","",IFERROR(VLOOKUP(A438,EQUIPEMENTS!A:M,13,0),""))</f>
        <v/>
      </c>
      <c r="E438" s="84">
        <f>IF(A438="","",COUNTIFS(MAINT_PREV!B:B,A438,MAINT_PREV!G:G,"Planifiée",MAINT_PREV!E:E,"&lt;"&amp;TODAY(),MAINT_PREV!H:H,""))</f>
        <v/>
      </c>
      <c r="F438" s="84">
        <f>IF(A438="","",COUNTIFS(INTERVENTIONS!B:B,A438,INTERVENTIONS!L:L,"Ouverte"))</f>
        <v/>
      </c>
      <c r="G438" s="84">
        <f>IF(A438="","",COUNTIFS(COMPOSANTS!B:B,A438,COMPOSANTS!G:G,"Défectueux"))</f>
        <v/>
      </c>
      <c r="H438" s="84">
        <f>IF(A438="","",IFERROR(VLOOKUP(A438,EQUIPEMENTS!A:R,18,0),""))</f>
        <v/>
      </c>
      <c r="I438" s="84">
        <f>IF(A438="","",IF(AND(C438="Haute",D438="En panne"),"🔴 CRITIQUE",IF(OR(E438&gt;0,F438&gt;0,G438&gt;0),"🟠 ATTENTION","🟢 OK")))</f>
        <v/>
      </c>
      <c r="J438" s="84">
        <f>IF(A438="","",IFERROR(VLOOKUP(A438,EQUIPEMENTS!A:Q,17,0),""))</f>
        <v/>
      </c>
      <c r="K438" s="84" t="n"/>
    </row>
    <row r="439" ht="15" customHeight="1" s="59">
      <c r="A439" s="87">
        <f>IFERROR(EQUIPEMENTS!A439,"")</f>
        <v/>
      </c>
      <c r="B439" s="87">
        <f>IF(A439="","",IFERROR(VLOOKUP(A439,EQUIPEMENTS!A:B,2,0),""))</f>
        <v/>
      </c>
      <c r="C439" s="87">
        <f>IF(A439="","",IFERROR(VLOOKUP(A439,EQUIPEMENTS!A:D,4,0),""))</f>
        <v/>
      </c>
      <c r="D439" s="87">
        <f>IF(A439="","",IFERROR(VLOOKUP(A439,EQUIPEMENTS!A:M,13,0),""))</f>
        <v/>
      </c>
      <c r="E439" s="87">
        <f>IF(A439="","",COUNTIFS(MAINT_PREV!B:B,A439,MAINT_PREV!G:G,"Planifiée",MAINT_PREV!E:E,"&lt;"&amp;TODAY(),MAINT_PREV!H:H,""))</f>
        <v/>
      </c>
      <c r="F439" s="87">
        <f>IF(A439="","",COUNTIFS(INTERVENTIONS!B:B,A439,INTERVENTIONS!L:L,"Ouverte"))</f>
        <v/>
      </c>
      <c r="G439" s="87">
        <f>IF(A439="","",COUNTIFS(COMPOSANTS!B:B,A439,COMPOSANTS!G:G,"Défectueux"))</f>
        <v/>
      </c>
      <c r="H439" s="87">
        <f>IF(A439="","",IFERROR(VLOOKUP(A439,EQUIPEMENTS!A:R,18,0),""))</f>
        <v/>
      </c>
      <c r="I439" s="87">
        <f>IF(A439="","",IF(AND(C439="Haute",D439="En panne"),"🔴 CRITIQUE",IF(OR(E439&gt;0,F439&gt;0,G439&gt;0),"🟠 ATTENTION","🟢 OK")))</f>
        <v/>
      </c>
      <c r="J439" s="87">
        <f>IF(A439="","",IFERROR(VLOOKUP(A439,EQUIPEMENTS!A:Q,17,0),""))</f>
        <v/>
      </c>
      <c r="K439" s="87" t="n"/>
    </row>
    <row r="440" ht="15" customHeight="1" s="59">
      <c r="A440" s="84">
        <f>IFERROR(EQUIPEMENTS!A440,"")</f>
        <v/>
      </c>
      <c r="B440" s="84">
        <f>IF(A440="","",IFERROR(VLOOKUP(A440,EQUIPEMENTS!A:B,2,0),""))</f>
        <v/>
      </c>
      <c r="C440" s="84">
        <f>IF(A440="","",IFERROR(VLOOKUP(A440,EQUIPEMENTS!A:D,4,0),""))</f>
        <v/>
      </c>
      <c r="D440" s="84">
        <f>IF(A440="","",IFERROR(VLOOKUP(A440,EQUIPEMENTS!A:M,13,0),""))</f>
        <v/>
      </c>
      <c r="E440" s="84">
        <f>IF(A440="","",COUNTIFS(MAINT_PREV!B:B,A440,MAINT_PREV!G:G,"Planifiée",MAINT_PREV!E:E,"&lt;"&amp;TODAY(),MAINT_PREV!H:H,""))</f>
        <v/>
      </c>
      <c r="F440" s="84">
        <f>IF(A440="","",COUNTIFS(INTERVENTIONS!B:B,A440,INTERVENTIONS!L:L,"Ouverte"))</f>
        <v/>
      </c>
      <c r="G440" s="84">
        <f>IF(A440="","",COUNTIFS(COMPOSANTS!B:B,A440,COMPOSANTS!G:G,"Défectueux"))</f>
        <v/>
      </c>
      <c r="H440" s="84">
        <f>IF(A440="","",IFERROR(VLOOKUP(A440,EQUIPEMENTS!A:R,18,0),""))</f>
        <v/>
      </c>
      <c r="I440" s="84">
        <f>IF(A440="","",IF(AND(C440="Haute",D440="En panne"),"🔴 CRITIQUE",IF(OR(E440&gt;0,F440&gt;0,G440&gt;0),"🟠 ATTENTION","🟢 OK")))</f>
        <v/>
      </c>
      <c r="J440" s="84">
        <f>IF(A440="","",IFERROR(VLOOKUP(A440,EQUIPEMENTS!A:Q,17,0),""))</f>
        <v/>
      </c>
      <c r="K440" s="84" t="n"/>
    </row>
    <row r="441" ht="15" customHeight="1" s="59">
      <c r="A441" s="87">
        <f>IFERROR(EQUIPEMENTS!A441,"")</f>
        <v/>
      </c>
      <c r="B441" s="87">
        <f>IF(A441="","",IFERROR(VLOOKUP(A441,EQUIPEMENTS!A:B,2,0),""))</f>
        <v/>
      </c>
      <c r="C441" s="87">
        <f>IF(A441="","",IFERROR(VLOOKUP(A441,EQUIPEMENTS!A:D,4,0),""))</f>
        <v/>
      </c>
      <c r="D441" s="87">
        <f>IF(A441="","",IFERROR(VLOOKUP(A441,EQUIPEMENTS!A:M,13,0),""))</f>
        <v/>
      </c>
      <c r="E441" s="87">
        <f>IF(A441="","",COUNTIFS(MAINT_PREV!B:B,A441,MAINT_PREV!G:G,"Planifiée",MAINT_PREV!E:E,"&lt;"&amp;TODAY(),MAINT_PREV!H:H,""))</f>
        <v/>
      </c>
      <c r="F441" s="87">
        <f>IF(A441="","",COUNTIFS(INTERVENTIONS!B:B,A441,INTERVENTIONS!L:L,"Ouverte"))</f>
        <v/>
      </c>
      <c r="G441" s="87">
        <f>IF(A441="","",COUNTIFS(COMPOSANTS!B:B,A441,COMPOSANTS!G:G,"Défectueux"))</f>
        <v/>
      </c>
      <c r="H441" s="87">
        <f>IF(A441="","",IFERROR(VLOOKUP(A441,EQUIPEMENTS!A:R,18,0),""))</f>
        <v/>
      </c>
      <c r="I441" s="87">
        <f>IF(A441="","",IF(AND(C441="Haute",D441="En panne"),"🔴 CRITIQUE",IF(OR(E441&gt;0,F441&gt;0,G441&gt;0),"🟠 ATTENTION","🟢 OK")))</f>
        <v/>
      </c>
      <c r="J441" s="87">
        <f>IF(A441="","",IFERROR(VLOOKUP(A441,EQUIPEMENTS!A:Q,17,0),""))</f>
        <v/>
      </c>
      <c r="K441" s="87" t="n"/>
    </row>
    <row r="442" ht="15" customHeight="1" s="59">
      <c r="A442" s="84">
        <f>IFERROR(EQUIPEMENTS!A442,"")</f>
        <v/>
      </c>
      <c r="B442" s="84">
        <f>IF(A442="","",IFERROR(VLOOKUP(A442,EQUIPEMENTS!A:B,2,0),""))</f>
        <v/>
      </c>
      <c r="C442" s="84">
        <f>IF(A442="","",IFERROR(VLOOKUP(A442,EQUIPEMENTS!A:D,4,0),""))</f>
        <v/>
      </c>
      <c r="D442" s="84">
        <f>IF(A442="","",IFERROR(VLOOKUP(A442,EQUIPEMENTS!A:M,13,0),""))</f>
        <v/>
      </c>
      <c r="E442" s="84">
        <f>IF(A442="","",COUNTIFS(MAINT_PREV!B:B,A442,MAINT_PREV!G:G,"Planifiée",MAINT_PREV!E:E,"&lt;"&amp;TODAY(),MAINT_PREV!H:H,""))</f>
        <v/>
      </c>
      <c r="F442" s="84">
        <f>IF(A442="","",COUNTIFS(INTERVENTIONS!B:B,A442,INTERVENTIONS!L:L,"Ouverte"))</f>
        <v/>
      </c>
      <c r="G442" s="84">
        <f>IF(A442="","",COUNTIFS(COMPOSANTS!B:B,A442,COMPOSANTS!G:G,"Défectueux"))</f>
        <v/>
      </c>
      <c r="H442" s="84">
        <f>IF(A442="","",IFERROR(VLOOKUP(A442,EQUIPEMENTS!A:R,18,0),""))</f>
        <v/>
      </c>
      <c r="I442" s="84">
        <f>IF(A442="","",IF(AND(C442="Haute",D442="En panne"),"🔴 CRITIQUE",IF(OR(E442&gt;0,F442&gt;0,G442&gt;0),"🟠 ATTENTION","🟢 OK")))</f>
        <v/>
      </c>
      <c r="J442" s="84">
        <f>IF(A442="","",IFERROR(VLOOKUP(A442,EQUIPEMENTS!A:Q,17,0),""))</f>
        <v/>
      </c>
      <c r="K442" s="84" t="n"/>
    </row>
    <row r="443" ht="15" customHeight="1" s="59">
      <c r="A443" s="87">
        <f>IFERROR(EQUIPEMENTS!A443,"")</f>
        <v/>
      </c>
      <c r="B443" s="87">
        <f>IF(A443="","",IFERROR(VLOOKUP(A443,EQUIPEMENTS!A:B,2,0),""))</f>
        <v/>
      </c>
      <c r="C443" s="87">
        <f>IF(A443="","",IFERROR(VLOOKUP(A443,EQUIPEMENTS!A:D,4,0),""))</f>
        <v/>
      </c>
      <c r="D443" s="87">
        <f>IF(A443="","",IFERROR(VLOOKUP(A443,EQUIPEMENTS!A:M,13,0),""))</f>
        <v/>
      </c>
      <c r="E443" s="87">
        <f>IF(A443="","",COUNTIFS(MAINT_PREV!B:B,A443,MAINT_PREV!G:G,"Planifiée",MAINT_PREV!E:E,"&lt;"&amp;TODAY(),MAINT_PREV!H:H,""))</f>
        <v/>
      </c>
      <c r="F443" s="87">
        <f>IF(A443="","",COUNTIFS(INTERVENTIONS!B:B,A443,INTERVENTIONS!L:L,"Ouverte"))</f>
        <v/>
      </c>
      <c r="G443" s="87">
        <f>IF(A443="","",COUNTIFS(COMPOSANTS!B:B,A443,COMPOSANTS!G:G,"Défectueux"))</f>
        <v/>
      </c>
      <c r="H443" s="87">
        <f>IF(A443="","",IFERROR(VLOOKUP(A443,EQUIPEMENTS!A:R,18,0),""))</f>
        <v/>
      </c>
      <c r="I443" s="87">
        <f>IF(A443="","",IF(AND(C443="Haute",D443="En panne"),"🔴 CRITIQUE",IF(OR(E443&gt;0,F443&gt;0,G443&gt;0),"🟠 ATTENTION","🟢 OK")))</f>
        <v/>
      </c>
      <c r="J443" s="87">
        <f>IF(A443="","",IFERROR(VLOOKUP(A443,EQUIPEMENTS!A:Q,17,0),""))</f>
        <v/>
      </c>
      <c r="K443" s="87" t="n"/>
    </row>
    <row r="444" ht="15" customHeight="1" s="59">
      <c r="A444" s="84">
        <f>IFERROR(EQUIPEMENTS!A444,"")</f>
        <v/>
      </c>
      <c r="B444" s="84">
        <f>IF(A444="","",IFERROR(VLOOKUP(A444,EQUIPEMENTS!A:B,2,0),""))</f>
        <v/>
      </c>
      <c r="C444" s="84">
        <f>IF(A444="","",IFERROR(VLOOKUP(A444,EQUIPEMENTS!A:D,4,0),""))</f>
        <v/>
      </c>
      <c r="D444" s="84">
        <f>IF(A444="","",IFERROR(VLOOKUP(A444,EQUIPEMENTS!A:M,13,0),""))</f>
        <v/>
      </c>
      <c r="E444" s="84">
        <f>IF(A444="","",COUNTIFS(MAINT_PREV!B:B,A444,MAINT_PREV!G:G,"Planifiée",MAINT_PREV!E:E,"&lt;"&amp;TODAY(),MAINT_PREV!H:H,""))</f>
        <v/>
      </c>
      <c r="F444" s="84">
        <f>IF(A444="","",COUNTIFS(INTERVENTIONS!B:B,A444,INTERVENTIONS!L:L,"Ouverte"))</f>
        <v/>
      </c>
      <c r="G444" s="84">
        <f>IF(A444="","",COUNTIFS(COMPOSANTS!B:B,A444,COMPOSANTS!G:G,"Défectueux"))</f>
        <v/>
      </c>
      <c r="H444" s="84">
        <f>IF(A444="","",IFERROR(VLOOKUP(A444,EQUIPEMENTS!A:R,18,0),""))</f>
        <v/>
      </c>
      <c r="I444" s="84">
        <f>IF(A444="","",IF(AND(C444="Haute",D444="En panne"),"🔴 CRITIQUE",IF(OR(E444&gt;0,F444&gt;0,G444&gt;0),"🟠 ATTENTION","🟢 OK")))</f>
        <v/>
      </c>
      <c r="J444" s="84">
        <f>IF(A444="","",IFERROR(VLOOKUP(A444,EQUIPEMENTS!A:Q,17,0),""))</f>
        <v/>
      </c>
      <c r="K444" s="84" t="n"/>
    </row>
    <row r="445" ht="15" customHeight="1" s="59">
      <c r="A445" s="87">
        <f>IFERROR(EQUIPEMENTS!A445,"")</f>
        <v/>
      </c>
      <c r="B445" s="87">
        <f>IF(A445="","",IFERROR(VLOOKUP(A445,EQUIPEMENTS!A:B,2,0),""))</f>
        <v/>
      </c>
      <c r="C445" s="87">
        <f>IF(A445="","",IFERROR(VLOOKUP(A445,EQUIPEMENTS!A:D,4,0),""))</f>
        <v/>
      </c>
      <c r="D445" s="87">
        <f>IF(A445="","",IFERROR(VLOOKUP(A445,EQUIPEMENTS!A:M,13,0),""))</f>
        <v/>
      </c>
      <c r="E445" s="87">
        <f>IF(A445="","",COUNTIFS(MAINT_PREV!B:B,A445,MAINT_PREV!G:G,"Planifiée",MAINT_PREV!E:E,"&lt;"&amp;TODAY(),MAINT_PREV!H:H,""))</f>
        <v/>
      </c>
      <c r="F445" s="87">
        <f>IF(A445="","",COUNTIFS(INTERVENTIONS!B:B,A445,INTERVENTIONS!L:L,"Ouverte"))</f>
        <v/>
      </c>
      <c r="G445" s="87">
        <f>IF(A445="","",COUNTIFS(COMPOSANTS!B:B,A445,COMPOSANTS!G:G,"Défectueux"))</f>
        <v/>
      </c>
      <c r="H445" s="87">
        <f>IF(A445="","",IFERROR(VLOOKUP(A445,EQUIPEMENTS!A:R,18,0),""))</f>
        <v/>
      </c>
      <c r="I445" s="87">
        <f>IF(A445="","",IF(AND(C445="Haute",D445="En panne"),"🔴 CRITIQUE",IF(OR(E445&gt;0,F445&gt;0,G445&gt;0),"🟠 ATTENTION","🟢 OK")))</f>
        <v/>
      </c>
      <c r="J445" s="87">
        <f>IF(A445="","",IFERROR(VLOOKUP(A445,EQUIPEMENTS!A:Q,17,0),""))</f>
        <v/>
      </c>
      <c r="K445" s="87" t="n"/>
    </row>
    <row r="446" ht="15" customHeight="1" s="59">
      <c r="A446" s="84">
        <f>IFERROR(EQUIPEMENTS!A446,"")</f>
        <v/>
      </c>
      <c r="B446" s="84">
        <f>IF(A446="","",IFERROR(VLOOKUP(A446,EQUIPEMENTS!A:B,2,0),""))</f>
        <v/>
      </c>
      <c r="C446" s="84">
        <f>IF(A446="","",IFERROR(VLOOKUP(A446,EQUIPEMENTS!A:D,4,0),""))</f>
        <v/>
      </c>
      <c r="D446" s="84">
        <f>IF(A446="","",IFERROR(VLOOKUP(A446,EQUIPEMENTS!A:M,13,0),""))</f>
        <v/>
      </c>
      <c r="E446" s="84">
        <f>IF(A446="","",COUNTIFS(MAINT_PREV!B:B,A446,MAINT_PREV!G:G,"Planifiée",MAINT_PREV!E:E,"&lt;"&amp;TODAY(),MAINT_PREV!H:H,""))</f>
        <v/>
      </c>
      <c r="F446" s="84">
        <f>IF(A446="","",COUNTIFS(INTERVENTIONS!B:B,A446,INTERVENTIONS!L:L,"Ouverte"))</f>
        <v/>
      </c>
      <c r="G446" s="84">
        <f>IF(A446="","",COUNTIFS(COMPOSANTS!B:B,A446,COMPOSANTS!G:G,"Défectueux"))</f>
        <v/>
      </c>
      <c r="H446" s="84">
        <f>IF(A446="","",IFERROR(VLOOKUP(A446,EQUIPEMENTS!A:R,18,0),""))</f>
        <v/>
      </c>
      <c r="I446" s="84">
        <f>IF(A446="","",IF(AND(C446="Haute",D446="En panne"),"🔴 CRITIQUE",IF(OR(E446&gt;0,F446&gt;0,G446&gt;0),"🟠 ATTENTION","🟢 OK")))</f>
        <v/>
      </c>
      <c r="J446" s="84">
        <f>IF(A446="","",IFERROR(VLOOKUP(A446,EQUIPEMENTS!A:Q,17,0),""))</f>
        <v/>
      </c>
      <c r="K446" s="84" t="n"/>
    </row>
    <row r="447" ht="15" customHeight="1" s="59">
      <c r="A447" s="87">
        <f>IFERROR(EQUIPEMENTS!A447,"")</f>
        <v/>
      </c>
      <c r="B447" s="87">
        <f>IF(A447="","",IFERROR(VLOOKUP(A447,EQUIPEMENTS!A:B,2,0),""))</f>
        <v/>
      </c>
      <c r="C447" s="87">
        <f>IF(A447="","",IFERROR(VLOOKUP(A447,EQUIPEMENTS!A:D,4,0),""))</f>
        <v/>
      </c>
      <c r="D447" s="87">
        <f>IF(A447="","",IFERROR(VLOOKUP(A447,EQUIPEMENTS!A:M,13,0),""))</f>
        <v/>
      </c>
      <c r="E447" s="87">
        <f>IF(A447="","",COUNTIFS(MAINT_PREV!B:B,A447,MAINT_PREV!G:G,"Planifiée",MAINT_PREV!E:E,"&lt;"&amp;TODAY(),MAINT_PREV!H:H,""))</f>
        <v/>
      </c>
      <c r="F447" s="87">
        <f>IF(A447="","",COUNTIFS(INTERVENTIONS!B:B,A447,INTERVENTIONS!L:L,"Ouverte"))</f>
        <v/>
      </c>
      <c r="G447" s="87">
        <f>IF(A447="","",COUNTIFS(COMPOSANTS!B:B,A447,COMPOSANTS!G:G,"Défectueux"))</f>
        <v/>
      </c>
      <c r="H447" s="87">
        <f>IF(A447="","",IFERROR(VLOOKUP(A447,EQUIPEMENTS!A:R,18,0),""))</f>
        <v/>
      </c>
      <c r="I447" s="87">
        <f>IF(A447="","",IF(AND(C447="Haute",D447="En panne"),"🔴 CRITIQUE",IF(OR(E447&gt;0,F447&gt;0,G447&gt;0),"🟠 ATTENTION","🟢 OK")))</f>
        <v/>
      </c>
      <c r="J447" s="87">
        <f>IF(A447="","",IFERROR(VLOOKUP(A447,EQUIPEMENTS!A:Q,17,0),""))</f>
        <v/>
      </c>
      <c r="K447" s="87" t="n"/>
    </row>
    <row r="448" ht="15" customHeight="1" s="59">
      <c r="A448" s="84">
        <f>IFERROR(EQUIPEMENTS!A448,"")</f>
        <v/>
      </c>
      <c r="B448" s="84">
        <f>IF(A448="","",IFERROR(VLOOKUP(A448,EQUIPEMENTS!A:B,2,0),""))</f>
        <v/>
      </c>
      <c r="C448" s="84">
        <f>IF(A448="","",IFERROR(VLOOKUP(A448,EQUIPEMENTS!A:D,4,0),""))</f>
        <v/>
      </c>
      <c r="D448" s="84">
        <f>IF(A448="","",IFERROR(VLOOKUP(A448,EQUIPEMENTS!A:M,13,0),""))</f>
        <v/>
      </c>
      <c r="E448" s="84">
        <f>IF(A448="","",COUNTIFS(MAINT_PREV!B:B,A448,MAINT_PREV!G:G,"Planifiée",MAINT_PREV!E:E,"&lt;"&amp;TODAY(),MAINT_PREV!H:H,""))</f>
        <v/>
      </c>
      <c r="F448" s="84">
        <f>IF(A448="","",COUNTIFS(INTERVENTIONS!B:B,A448,INTERVENTIONS!L:L,"Ouverte"))</f>
        <v/>
      </c>
      <c r="G448" s="84">
        <f>IF(A448="","",COUNTIFS(COMPOSANTS!B:B,A448,COMPOSANTS!G:G,"Défectueux"))</f>
        <v/>
      </c>
      <c r="H448" s="84">
        <f>IF(A448="","",IFERROR(VLOOKUP(A448,EQUIPEMENTS!A:R,18,0),""))</f>
        <v/>
      </c>
      <c r="I448" s="84">
        <f>IF(A448="","",IF(AND(C448="Haute",D448="En panne"),"🔴 CRITIQUE",IF(OR(E448&gt;0,F448&gt;0,G448&gt;0),"🟠 ATTENTION","🟢 OK")))</f>
        <v/>
      </c>
      <c r="J448" s="84">
        <f>IF(A448="","",IFERROR(VLOOKUP(A448,EQUIPEMENTS!A:Q,17,0),""))</f>
        <v/>
      </c>
      <c r="K448" s="84" t="n"/>
    </row>
    <row r="449" ht="15" customHeight="1" s="59">
      <c r="A449" s="87">
        <f>IFERROR(EQUIPEMENTS!A449,"")</f>
        <v/>
      </c>
      <c r="B449" s="87">
        <f>IF(A449="","",IFERROR(VLOOKUP(A449,EQUIPEMENTS!A:B,2,0),""))</f>
        <v/>
      </c>
      <c r="C449" s="87">
        <f>IF(A449="","",IFERROR(VLOOKUP(A449,EQUIPEMENTS!A:D,4,0),""))</f>
        <v/>
      </c>
      <c r="D449" s="87">
        <f>IF(A449="","",IFERROR(VLOOKUP(A449,EQUIPEMENTS!A:M,13,0),""))</f>
        <v/>
      </c>
      <c r="E449" s="87">
        <f>IF(A449="","",COUNTIFS(MAINT_PREV!B:B,A449,MAINT_PREV!G:G,"Planifiée",MAINT_PREV!E:E,"&lt;"&amp;TODAY(),MAINT_PREV!H:H,""))</f>
        <v/>
      </c>
      <c r="F449" s="87">
        <f>IF(A449="","",COUNTIFS(INTERVENTIONS!B:B,A449,INTERVENTIONS!L:L,"Ouverte"))</f>
        <v/>
      </c>
      <c r="G449" s="87">
        <f>IF(A449="","",COUNTIFS(COMPOSANTS!B:B,A449,COMPOSANTS!G:G,"Défectueux"))</f>
        <v/>
      </c>
      <c r="H449" s="87">
        <f>IF(A449="","",IFERROR(VLOOKUP(A449,EQUIPEMENTS!A:R,18,0),""))</f>
        <v/>
      </c>
      <c r="I449" s="87">
        <f>IF(A449="","",IF(AND(C449="Haute",D449="En panne"),"🔴 CRITIQUE",IF(OR(E449&gt;0,F449&gt;0,G449&gt;0),"🟠 ATTENTION","🟢 OK")))</f>
        <v/>
      </c>
      <c r="J449" s="87">
        <f>IF(A449="","",IFERROR(VLOOKUP(A449,EQUIPEMENTS!A:Q,17,0),""))</f>
        <v/>
      </c>
      <c r="K449" s="87" t="n"/>
    </row>
    <row r="450" ht="15" customHeight="1" s="59">
      <c r="A450" s="84">
        <f>IFERROR(EQUIPEMENTS!A450,"")</f>
        <v/>
      </c>
      <c r="B450" s="84">
        <f>IF(A450="","",IFERROR(VLOOKUP(A450,EQUIPEMENTS!A:B,2,0),""))</f>
        <v/>
      </c>
      <c r="C450" s="84">
        <f>IF(A450="","",IFERROR(VLOOKUP(A450,EQUIPEMENTS!A:D,4,0),""))</f>
        <v/>
      </c>
      <c r="D450" s="84">
        <f>IF(A450="","",IFERROR(VLOOKUP(A450,EQUIPEMENTS!A:M,13,0),""))</f>
        <v/>
      </c>
      <c r="E450" s="84">
        <f>IF(A450="","",COUNTIFS(MAINT_PREV!B:B,A450,MAINT_PREV!G:G,"Planifiée",MAINT_PREV!E:E,"&lt;"&amp;TODAY(),MAINT_PREV!H:H,""))</f>
        <v/>
      </c>
      <c r="F450" s="84">
        <f>IF(A450="","",COUNTIFS(INTERVENTIONS!B:B,A450,INTERVENTIONS!L:L,"Ouverte"))</f>
        <v/>
      </c>
      <c r="G450" s="84">
        <f>IF(A450="","",COUNTIFS(COMPOSANTS!B:B,A450,COMPOSANTS!G:G,"Défectueux"))</f>
        <v/>
      </c>
      <c r="H450" s="84">
        <f>IF(A450="","",IFERROR(VLOOKUP(A450,EQUIPEMENTS!A:R,18,0),""))</f>
        <v/>
      </c>
      <c r="I450" s="84">
        <f>IF(A450="","",IF(AND(C450="Haute",D450="En panne"),"🔴 CRITIQUE",IF(OR(E450&gt;0,F450&gt;0,G450&gt;0),"🟠 ATTENTION","🟢 OK")))</f>
        <v/>
      </c>
      <c r="J450" s="84">
        <f>IF(A450="","",IFERROR(VLOOKUP(A450,EQUIPEMENTS!A:Q,17,0),""))</f>
        <v/>
      </c>
      <c r="K450" s="84" t="n"/>
    </row>
    <row r="451" ht="15" customHeight="1" s="59">
      <c r="A451" s="87">
        <f>IFERROR(EQUIPEMENTS!A451,"")</f>
        <v/>
      </c>
      <c r="B451" s="87">
        <f>IF(A451="","",IFERROR(VLOOKUP(A451,EQUIPEMENTS!A:B,2,0),""))</f>
        <v/>
      </c>
      <c r="C451" s="87">
        <f>IF(A451="","",IFERROR(VLOOKUP(A451,EQUIPEMENTS!A:D,4,0),""))</f>
        <v/>
      </c>
      <c r="D451" s="87">
        <f>IF(A451="","",IFERROR(VLOOKUP(A451,EQUIPEMENTS!A:M,13,0),""))</f>
        <v/>
      </c>
      <c r="E451" s="87">
        <f>IF(A451="","",COUNTIFS(MAINT_PREV!B:B,A451,MAINT_PREV!G:G,"Planifiée",MAINT_PREV!E:E,"&lt;"&amp;TODAY(),MAINT_PREV!H:H,""))</f>
        <v/>
      </c>
      <c r="F451" s="87">
        <f>IF(A451="","",COUNTIFS(INTERVENTIONS!B:B,A451,INTERVENTIONS!L:L,"Ouverte"))</f>
        <v/>
      </c>
      <c r="G451" s="87">
        <f>IF(A451="","",COUNTIFS(COMPOSANTS!B:B,A451,COMPOSANTS!G:G,"Défectueux"))</f>
        <v/>
      </c>
      <c r="H451" s="87">
        <f>IF(A451="","",IFERROR(VLOOKUP(A451,EQUIPEMENTS!A:R,18,0),""))</f>
        <v/>
      </c>
      <c r="I451" s="87">
        <f>IF(A451="","",IF(AND(C451="Haute",D451="En panne"),"🔴 CRITIQUE",IF(OR(E451&gt;0,F451&gt;0,G451&gt;0),"🟠 ATTENTION","🟢 OK")))</f>
        <v/>
      </c>
      <c r="J451" s="87">
        <f>IF(A451="","",IFERROR(VLOOKUP(A451,EQUIPEMENTS!A:Q,17,0),""))</f>
        <v/>
      </c>
      <c r="K451" s="87" t="n"/>
    </row>
    <row r="452" ht="15" customHeight="1" s="59">
      <c r="A452" s="84">
        <f>IFERROR(EQUIPEMENTS!A452,"")</f>
        <v/>
      </c>
      <c r="B452" s="84">
        <f>IF(A452="","",IFERROR(VLOOKUP(A452,EQUIPEMENTS!A:B,2,0),""))</f>
        <v/>
      </c>
      <c r="C452" s="84">
        <f>IF(A452="","",IFERROR(VLOOKUP(A452,EQUIPEMENTS!A:D,4,0),""))</f>
        <v/>
      </c>
      <c r="D452" s="84">
        <f>IF(A452="","",IFERROR(VLOOKUP(A452,EQUIPEMENTS!A:M,13,0),""))</f>
        <v/>
      </c>
      <c r="E452" s="84">
        <f>IF(A452="","",COUNTIFS(MAINT_PREV!B:B,A452,MAINT_PREV!G:G,"Planifiée",MAINT_PREV!E:E,"&lt;"&amp;TODAY(),MAINT_PREV!H:H,""))</f>
        <v/>
      </c>
      <c r="F452" s="84">
        <f>IF(A452="","",COUNTIFS(INTERVENTIONS!B:B,A452,INTERVENTIONS!L:L,"Ouverte"))</f>
        <v/>
      </c>
      <c r="G452" s="84">
        <f>IF(A452="","",COUNTIFS(COMPOSANTS!B:B,A452,COMPOSANTS!G:G,"Défectueux"))</f>
        <v/>
      </c>
      <c r="H452" s="84">
        <f>IF(A452="","",IFERROR(VLOOKUP(A452,EQUIPEMENTS!A:R,18,0),""))</f>
        <v/>
      </c>
      <c r="I452" s="84">
        <f>IF(A452="","",IF(AND(C452="Haute",D452="En panne"),"🔴 CRITIQUE",IF(OR(E452&gt;0,F452&gt;0,G452&gt;0),"🟠 ATTENTION","🟢 OK")))</f>
        <v/>
      </c>
      <c r="J452" s="84">
        <f>IF(A452="","",IFERROR(VLOOKUP(A452,EQUIPEMENTS!A:Q,17,0),""))</f>
        <v/>
      </c>
      <c r="K452" s="84" t="n"/>
    </row>
    <row r="453" ht="15" customHeight="1" s="59">
      <c r="A453" s="87">
        <f>IFERROR(EQUIPEMENTS!A453,"")</f>
        <v/>
      </c>
      <c r="B453" s="87">
        <f>IF(A453="","",IFERROR(VLOOKUP(A453,EQUIPEMENTS!A:B,2,0),""))</f>
        <v/>
      </c>
      <c r="C453" s="87">
        <f>IF(A453="","",IFERROR(VLOOKUP(A453,EQUIPEMENTS!A:D,4,0),""))</f>
        <v/>
      </c>
      <c r="D453" s="87">
        <f>IF(A453="","",IFERROR(VLOOKUP(A453,EQUIPEMENTS!A:M,13,0),""))</f>
        <v/>
      </c>
      <c r="E453" s="87">
        <f>IF(A453="","",COUNTIFS(MAINT_PREV!B:B,A453,MAINT_PREV!G:G,"Planifiée",MAINT_PREV!E:E,"&lt;"&amp;TODAY(),MAINT_PREV!H:H,""))</f>
        <v/>
      </c>
      <c r="F453" s="87">
        <f>IF(A453="","",COUNTIFS(INTERVENTIONS!B:B,A453,INTERVENTIONS!L:L,"Ouverte"))</f>
        <v/>
      </c>
      <c r="G453" s="87">
        <f>IF(A453="","",COUNTIFS(COMPOSANTS!B:B,A453,COMPOSANTS!G:G,"Défectueux"))</f>
        <v/>
      </c>
      <c r="H453" s="87">
        <f>IF(A453="","",IFERROR(VLOOKUP(A453,EQUIPEMENTS!A:R,18,0),""))</f>
        <v/>
      </c>
      <c r="I453" s="87">
        <f>IF(A453="","",IF(AND(C453="Haute",D453="En panne"),"🔴 CRITIQUE",IF(OR(E453&gt;0,F453&gt;0,G453&gt;0),"🟠 ATTENTION","🟢 OK")))</f>
        <v/>
      </c>
      <c r="J453" s="87">
        <f>IF(A453="","",IFERROR(VLOOKUP(A453,EQUIPEMENTS!A:Q,17,0),""))</f>
        <v/>
      </c>
      <c r="K453" s="87" t="n"/>
    </row>
    <row r="454" ht="15" customHeight="1" s="59">
      <c r="A454" s="84">
        <f>IFERROR(EQUIPEMENTS!A454,"")</f>
        <v/>
      </c>
      <c r="B454" s="84">
        <f>IF(A454="","",IFERROR(VLOOKUP(A454,EQUIPEMENTS!A:B,2,0),""))</f>
        <v/>
      </c>
      <c r="C454" s="84">
        <f>IF(A454="","",IFERROR(VLOOKUP(A454,EQUIPEMENTS!A:D,4,0),""))</f>
        <v/>
      </c>
      <c r="D454" s="84">
        <f>IF(A454="","",IFERROR(VLOOKUP(A454,EQUIPEMENTS!A:M,13,0),""))</f>
        <v/>
      </c>
      <c r="E454" s="84">
        <f>IF(A454="","",COUNTIFS(MAINT_PREV!B:B,A454,MAINT_PREV!G:G,"Planifiée",MAINT_PREV!E:E,"&lt;"&amp;TODAY(),MAINT_PREV!H:H,""))</f>
        <v/>
      </c>
      <c r="F454" s="84">
        <f>IF(A454="","",COUNTIFS(INTERVENTIONS!B:B,A454,INTERVENTIONS!L:L,"Ouverte"))</f>
        <v/>
      </c>
      <c r="G454" s="84">
        <f>IF(A454="","",COUNTIFS(COMPOSANTS!B:B,A454,COMPOSANTS!G:G,"Défectueux"))</f>
        <v/>
      </c>
      <c r="H454" s="84">
        <f>IF(A454="","",IFERROR(VLOOKUP(A454,EQUIPEMENTS!A:R,18,0),""))</f>
        <v/>
      </c>
      <c r="I454" s="84">
        <f>IF(A454="","",IF(AND(C454="Haute",D454="En panne"),"🔴 CRITIQUE",IF(OR(E454&gt;0,F454&gt;0,G454&gt;0),"🟠 ATTENTION","🟢 OK")))</f>
        <v/>
      </c>
      <c r="J454" s="84">
        <f>IF(A454="","",IFERROR(VLOOKUP(A454,EQUIPEMENTS!A:Q,17,0),""))</f>
        <v/>
      </c>
      <c r="K454" s="84" t="n"/>
    </row>
    <row r="455" ht="15" customHeight="1" s="59">
      <c r="A455" s="87">
        <f>IFERROR(EQUIPEMENTS!A455,"")</f>
        <v/>
      </c>
      <c r="B455" s="87">
        <f>IF(A455="","",IFERROR(VLOOKUP(A455,EQUIPEMENTS!A:B,2,0),""))</f>
        <v/>
      </c>
      <c r="C455" s="87">
        <f>IF(A455="","",IFERROR(VLOOKUP(A455,EQUIPEMENTS!A:D,4,0),""))</f>
        <v/>
      </c>
      <c r="D455" s="87">
        <f>IF(A455="","",IFERROR(VLOOKUP(A455,EQUIPEMENTS!A:M,13,0),""))</f>
        <v/>
      </c>
      <c r="E455" s="87">
        <f>IF(A455="","",COUNTIFS(MAINT_PREV!B:B,A455,MAINT_PREV!G:G,"Planifiée",MAINT_PREV!E:E,"&lt;"&amp;TODAY(),MAINT_PREV!H:H,""))</f>
        <v/>
      </c>
      <c r="F455" s="87">
        <f>IF(A455="","",COUNTIFS(INTERVENTIONS!B:B,A455,INTERVENTIONS!L:L,"Ouverte"))</f>
        <v/>
      </c>
      <c r="G455" s="87">
        <f>IF(A455="","",COUNTIFS(COMPOSANTS!B:B,A455,COMPOSANTS!G:G,"Défectueux"))</f>
        <v/>
      </c>
      <c r="H455" s="87">
        <f>IF(A455="","",IFERROR(VLOOKUP(A455,EQUIPEMENTS!A:R,18,0),""))</f>
        <v/>
      </c>
      <c r="I455" s="87">
        <f>IF(A455="","",IF(AND(C455="Haute",D455="En panne"),"🔴 CRITIQUE",IF(OR(E455&gt;0,F455&gt;0,G455&gt;0),"🟠 ATTENTION","🟢 OK")))</f>
        <v/>
      </c>
      <c r="J455" s="87">
        <f>IF(A455="","",IFERROR(VLOOKUP(A455,EQUIPEMENTS!A:Q,17,0),""))</f>
        <v/>
      </c>
      <c r="K455" s="87" t="n"/>
    </row>
    <row r="456" ht="15" customHeight="1" s="59">
      <c r="A456" s="84">
        <f>IFERROR(EQUIPEMENTS!A456,"")</f>
        <v/>
      </c>
      <c r="B456" s="84">
        <f>IF(A456="","",IFERROR(VLOOKUP(A456,EQUIPEMENTS!A:B,2,0),""))</f>
        <v/>
      </c>
      <c r="C456" s="84">
        <f>IF(A456="","",IFERROR(VLOOKUP(A456,EQUIPEMENTS!A:D,4,0),""))</f>
        <v/>
      </c>
      <c r="D456" s="84">
        <f>IF(A456="","",IFERROR(VLOOKUP(A456,EQUIPEMENTS!A:M,13,0),""))</f>
        <v/>
      </c>
      <c r="E456" s="84">
        <f>IF(A456="","",COUNTIFS(MAINT_PREV!B:B,A456,MAINT_PREV!G:G,"Planifiée",MAINT_PREV!E:E,"&lt;"&amp;TODAY(),MAINT_PREV!H:H,""))</f>
        <v/>
      </c>
      <c r="F456" s="84">
        <f>IF(A456="","",COUNTIFS(INTERVENTIONS!B:B,A456,INTERVENTIONS!L:L,"Ouverte"))</f>
        <v/>
      </c>
      <c r="G456" s="84">
        <f>IF(A456="","",COUNTIFS(COMPOSANTS!B:B,A456,COMPOSANTS!G:G,"Défectueux"))</f>
        <v/>
      </c>
      <c r="H456" s="84">
        <f>IF(A456="","",IFERROR(VLOOKUP(A456,EQUIPEMENTS!A:R,18,0),""))</f>
        <v/>
      </c>
      <c r="I456" s="84">
        <f>IF(A456="","",IF(AND(C456="Haute",D456="En panne"),"🔴 CRITIQUE",IF(OR(E456&gt;0,F456&gt;0,G456&gt;0),"🟠 ATTENTION","🟢 OK")))</f>
        <v/>
      </c>
      <c r="J456" s="84">
        <f>IF(A456="","",IFERROR(VLOOKUP(A456,EQUIPEMENTS!A:Q,17,0),""))</f>
        <v/>
      </c>
      <c r="K456" s="84" t="n"/>
    </row>
    <row r="457" ht="15" customHeight="1" s="59">
      <c r="A457" s="87">
        <f>IFERROR(EQUIPEMENTS!A457,"")</f>
        <v/>
      </c>
      <c r="B457" s="87">
        <f>IF(A457="","",IFERROR(VLOOKUP(A457,EQUIPEMENTS!A:B,2,0),""))</f>
        <v/>
      </c>
      <c r="C457" s="87">
        <f>IF(A457="","",IFERROR(VLOOKUP(A457,EQUIPEMENTS!A:D,4,0),""))</f>
        <v/>
      </c>
      <c r="D457" s="87">
        <f>IF(A457="","",IFERROR(VLOOKUP(A457,EQUIPEMENTS!A:M,13,0),""))</f>
        <v/>
      </c>
      <c r="E457" s="87">
        <f>IF(A457="","",COUNTIFS(MAINT_PREV!B:B,A457,MAINT_PREV!G:G,"Planifiée",MAINT_PREV!E:E,"&lt;"&amp;TODAY(),MAINT_PREV!H:H,""))</f>
        <v/>
      </c>
      <c r="F457" s="87">
        <f>IF(A457="","",COUNTIFS(INTERVENTIONS!B:B,A457,INTERVENTIONS!L:L,"Ouverte"))</f>
        <v/>
      </c>
      <c r="G457" s="87">
        <f>IF(A457="","",COUNTIFS(COMPOSANTS!B:B,A457,COMPOSANTS!G:G,"Défectueux"))</f>
        <v/>
      </c>
      <c r="H457" s="87">
        <f>IF(A457="","",IFERROR(VLOOKUP(A457,EQUIPEMENTS!A:R,18,0),""))</f>
        <v/>
      </c>
      <c r="I457" s="87">
        <f>IF(A457="","",IF(AND(C457="Haute",D457="En panne"),"🔴 CRITIQUE",IF(OR(E457&gt;0,F457&gt;0,G457&gt;0),"🟠 ATTENTION","🟢 OK")))</f>
        <v/>
      </c>
      <c r="J457" s="87">
        <f>IF(A457="","",IFERROR(VLOOKUP(A457,EQUIPEMENTS!A:Q,17,0),""))</f>
        <v/>
      </c>
      <c r="K457" s="87" t="n"/>
    </row>
    <row r="458" ht="15" customHeight="1" s="59">
      <c r="A458" s="84">
        <f>IFERROR(EQUIPEMENTS!A458,"")</f>
        <v/>
      </c>
      <c r="B458" s="84">
        <f>IF(A458="","",IFERROR(VLOOKUP(A458,EQUIPEMENTS!A:B,2,0),""))</f>
        <v/>
      </c>
      <c r="C458" s="84">
        <f>IF(A458="","",IFERROR(VLOOKUP(A458,EQUIPEMENTS!A:D,4,0),""))</f>
        <v/>
      </c>
      <c r="D458" s="84">
        <f>IF(A458="","",IFERROR(VLOOKUP(A458,EQUIPEMENTS!A:M,13,0),""))</f>
        <v/>
      </c>
      <c r="E458" s="84">
        <f>IF(A458="","",COUNTIFS(MAINT_PREV!B:B,A458,MAINT_PREV!G:G,"Planifiée",MAINT_PREV!E:E,"&lt;"&amp;TODAY(),MAINT_PREV!H:H,""))</f>
        <v/>
      </c>
      <c r="F458" s="84">
        <f>IF(A458="","",COUNTIFS(INTERVENTIONS!B:B,A458,INTERVENTIONS!L:L,"Ouverte"))</f>
        <v/>
      </c>
      <c r="G458" s="84">
        <f>IF(A458="","",COUNTIFS(COMPOSANTS!B:B,A458,COMPOSANTS!G:G,"Défectueux"))</f>
        <v/>
      </c>
      <c r="H458" s="84">
        <f>IF(A458="","",IFERROR(VLOOKUP(A458,EQUIPEMENTS!A:R,18,0),""))</f>
        <v/>
      </c>
      <c r="I458" s="84">
        <f>IF(A458="","",IF(AND(C458="Haute",D458="En panne"),"🔴 CRITIQUE",IF(OR(E458&gt;0,F458&gt;0,G458&gt;0),"🟠 ATTENTION","🟢 OK")))</f>
        <v/>
      </c>
      <c r="J458" s="84">
        <f>IF(A458="","",IFERROR(VLOOKUP(A458,EQUIPEMENTS!A:Q,17,0),""))</f>
        <v/>
      </c>
      <c r="K458" s="84" t="n"/>
    </row>
    <row r="459" ht="15" customHeight="1" s="59">
      <c r="A459" s="87">
        <f>IFERROR(EQUIPEMENTS!A459,"")</f>
        <v/>
      </c>
      <c r="B459" s="87">
        <f>IF(A459="","",IFERROR(VLOOKUP(A459,EQUIPEMENTS!A:B,2,0),""))</f>
        <v/>
      </c>
      <c r="C459" s="87">
        <f>IF(A459="","",IFERROR(VLOOKUP(A459,EQUIPEMENTS!A:D,4,0),""))</f>
        <v/>
      </c>
      <c r="D459" s="87">
        <f>IF(A459="","",IFERROR(VLOOKUP(A459,EQUIPEMENTS!A:M,13,0),""))</f>
        <v/>
      </c>
      <c r="E459" s="87">
        <f>IF(A459="","",COUNTIFS(MAINT_PREV!B:B,A459,MAINT_PREV!G:G,"Planifiée",MAINT_PREV!E:E,"&lt;"&amp;TODAY(),MAINT_PREV!H:H,""))</f>
        <v/>
      </c>
      <c r="F459" s="87">
        <f>IF(A459="","",COUNTIFS(INTERVENTIONS!B:B,A459,INTERVENTIONS!L:L,"Ouverte"))</f>
        <v/>
      </c>
      <c r="G459" s="87">
        <f>IF(A459="","",COUNTIFS(COMPOSANTS!B:B,A459,COMPOSANTS!G:G,"Défectueux"))</f>
        <v/>
      </c>
      <c r="H459" s="87">
        <f>IF(A459="","",IFERROR(VLOOKUP(A459,EQUIPEMENTS!A:R,18,0),""))</f>
        <v/>
      </c>
      <c r="I459" s="87">
        <f>IF(A459="","",IF(AND(C459="Haute",D459="En panne"),"🔴 CRITIQUE",IF(OR(E459&gt;0,F459&gt;0,G459&gt;0),"🟠 ATTENTION","🟢 OK")))</f>
        <v/>
      </c>
      <c r="J459" s="87">
        <f>IF(A459="","",IFERROR(VLOOKUP(A459,EQUIPEMENTS!A:Q,17,0),""))</f>
        <v/>
      </c>
      <c r="K459" s="87" t="n"/>
    </row>
    <row r="460" ht="15" customHeight="1" s="59">
      <c r="A460" s="84">
        <f>IFERROR(EQUIPEMENTS!A460,"")</f>
        <v/>
      </c>
      <c r="B460" s="84">
        <f>IF(A460="","",IFERROR(VLOOKUP(A460,EQUIPEMENTS!A:B,2,0),""))</f>
        <v/>
      </c>
      <c r="C460" s="84">
        <f>IF(A460="","",IFERROR(VLOOKUP(A460,EQUIPEMENTS!A:D,4,0),""))</f>
        <v/>
      </c>
      <c r="D460" s="84">
        <f>IF(A460="","",IFERROR(VLOOKUP(A460,EQUIPEMENTS!A:M,13,0),""))</f>
        <v/>
      </c>
      <c r="E460" s="84">
        <f>IF(A460="","",COUNTIFS(MAINT_PREV!B:B,A460,MAINT_PREV!G:G,"Planifiée",MAINT_PREV!E:E,"&lt;"&amp;TODAY(),MAINT_PREV!H:H,""))</f>
        <v/>
      </c>
      <c r="F460" s="84">
        <f>IF(A460="","",COUNTIFS(INTERVENTIONS!B:B,A460,INTERVENTIONS!L:L,"Ouverte"))</f>
        <v/>
      </c>
      <c r="G460" s="84">
        <f>IF(A460="","",COUNTIFS(COMPOSANTS!B:B,A460,COMPOSANTS!G:G,"Défectueux"))</f>
        <v/>
      </c>
      <c r="H460" s="84">
        <f>IF(A460="","",IFERROR(VLOOKUP(A460,EQUIPEMENTS!A:R,18,0),""))</f>
        <v/>
      </c>
      <c r="I460" s="84">
        <f>IF(A460="","",IF(AND(C460="Haute",D460="En panne"),"🔴 CRITIQUE",IF(OR(E460&gt;0,F460&gt;0,G460&gt;0),"🟠 ATTENTION","🟢 OK")))</f>
        <v/>
      </c>
      <c r="J460" s="84">
        <f>IF(A460="","",IFERROR(VLOOKUP(A460,EQUIPEMENTS!A:Q,17,0),""))</f>
        <v/>
      </c>
      <c r="K460" s="84" t="n"/>
    </row>
    <row r="461" ht="15" customHeight="1" s="59">
      <c r="A461" s="87">
        <f>IFERROR(EQUIPEMENTS!A461,"")</f>
        <v/>
      </c>
      <c r="B461" s="87">
        <f>IF(A461="","",IFERROR(VLOOKUP(A461,EQUIPEMENTS!A:B,2,0),""))</f>
        <v/>
      </c>
      <c r="C461" s="87">
        <f>IF(A461="","",IFERROR(VLOOKUP(A461,EQUIPEMENTS!A:D,4,0),""))</f>
        <v/>
      </c>
      <c r="D461" s="87">
        <f>IF(A461="","",IFERROR(VLOOKUP(A461,EQUIPEMENTS!A:M,13,0),""))</f>
        <v/>
      </c>
      <c r="E461" s="87">
        <f>IF(A461="","",COUNTIFS(MAINT_PREV!B:B,A461,MAINT_PREV!G:G,"Planifiée",MAINT_PREV!E:E,"&lt;"&amp;TODAY(),MAINT_PREV!H:H,""))</f>
        <v/>
      </c>
      <c r="F461" s="87">
        <f>IF(A461="","",COUNTIFS(INTERVENTIONS!B:B,A461,INTERVENTIONS!L:L,"Ouverte"))</f>
        <v/>
      </c>
      <c r="G461" s="87">
        <f>IF(A461="","",COUNTIFS(COMPOSANTS!B:B,A461,COMPOSANTS!G:G,"Défectueux"))</f>
        <v/>
      </c>
      <c r="H461" s="87">
        <f>IF(A461="","",IFERROR(VLOOKUP(A461,EQUIPEMENTS!A:R,18,0),""))</f>
        <v/>
      </c>
      <c r="I461" s="87">
        <f>IF(A461="","",IF(AND(C461="Haute",D461="En panne"),"🔴 CRITIQUE",IF(OR(E461&gt;0,F461&gt;0,G461&gt;0),"🟠 ATTENTION","🟢 OK")))</f>
        <v/>
      </c>
      <c r="J461" s="87">
        <f>IF(A461="","",IFERROR(VLOOKUP(A461,EQUIPEMENTS!A:Q,17,0),""))</f>
        <v/>
      </c>
      <c r="K461" s="87" t="n"/>
    </row>
    <row r="462" ht="15" customHeight="1" s="59">
      <c r="A462" s="84">
        <f>IFERROR(EQUIPEMENTS!A462,"")</f>
        <v/>
      </c>
      <c r="B462" s="84">
        <f>IF(A462="","",IFERROR(VLOOKUP(A462,EQUIPEMENTS!A:B,2,0),""))</f>
        <v/>
      </c>
      <c r="C462" s="84">
        <f>IF(A462="","",IFERROR(VLOOKUP(A462,EQUIPEMENTS!A:D,4,0),""))</f>
        <v/>
      </c>
      <c r="D462" s="84">
        <f>IF(A462="","",IFERROR(VLOOKUP(A462,EQUIPEMENTS!A:M,13,0),""))</f>
        <v/>
      </c>
      <c r="E462" s="84">
        <f>IF(A462="","",COUNTIFS(MAINT_PREV!B:B,A462,MAINT_PREV!G:G,"Planifiée",MAINT_PREV!E:E,"&lt;"&amp;TODAY(),MAINT_PREV!H:H,""))</f>
        <v/>
      </c>
      <c r="F462" s="84">
        <f>IF(A462="","",COUNTIFS(INTERVENTIONS!B:B,A462,INTERVENTIONS!L:L,"Ouverte"))</f>
        <v/>
      </c>
      <c r="G462" s="84">
        <f>IF(A462="","",COUNTIFS(COMPOSANTS!B:B,A462,COMPOSANTS!G:G,"Défectueux"))</f>
        <v/>
      </c>
      <c r="H462" s="84">
        <f>IF(A462="","",IFERROR(VLOOKUP(A462,EQUIPEMENTS!A:R,18,0),""))</f>
        <v/>
      </c>
      <c r="I462" s="84">
        <f>IF(A462="","",IF(AND(C462="Haute",D462="En panne"),"🔴 CRITIQUE",IF(OR(E462&gt;0,F462&gt;0,G462&gt;0),"🟠 ATTENTION","🟢 OK")))</f>
        <v/>
      </c>
      <c r="J462" s="84">
        <f>IF(A462="","",IFERROR(VLOOKUP(A462,EQUIPEMENTS!A:Q,17,0),""))</f>
        <v/>
      </c>
      <c r="K462" s="84" t="n"/>
    </row>
    <row r="463" ht="15" customHeight="1" s="59">
      <c r="A463" s="87">
        <f>IFERROR(EQUIPEMENTS!A463,"")</f>
        <v/>
      </c>
      <c r="B463" s="87">
        <f>IF(A463="","",IFERROR(VLOOKUP(A463,EQUIPEMENTS!A:B,2,0),""))</f>
        <v/>
      </c>
      <c r="C463" s="87">
        <f>IF(A463="","",IFERROR(VLOOKUP(A463,EQUIPEMENTS!A:D,4,0),""))</f>
        <v/>
      </c>
      <c r="D463" s="87">
        <f>IF(A463="","",IFERROR(VLOOKUP(A463,EQUIPEMENTS!A:M,13,0),""))</f>
        <v/>
      </c>
      <c r="E463" s="87">
        <f>IF(A463="","",COUNTIFS(MAINT_PREV!B:B,A463,MAINT_PREV!G:G,"Planifiée",MAINT_PREV!E:E,"&lt;"&amp;TODAY(),MAINT_PREV!H:H,""))</f>
        <v/>
      </c>
      <c r="F463" s="87">
        <f>IF(A463="","",COUNTIFS(INTERVENTIONS!B:B,A463,INTERVENTIONS!L:L,"Ouverte"))</f>
        <v/>
      </c>
      <c r="G463" s="87">
        <f>IF(A463="","",COUNTIFS(COMPOSANTS!B:B,A463,COMPOSANTS!G:G,"Défectueux"))</f>
        <v/>
      </c>
      <c r="H463" s="87">
        <f>IF(A463="","",IFERROR(VLOOKUP(A463,EQUIPEMENTS!A:R,18,0),""))</f>
        <v/>
      </c>
      <c r="I463" s="87">
        <f>IF(A463="","",IF(AND(C463="Haute",D463="En panne"),"🔴 CRITIQUE",IF(OR(E463&gt;0,F463&gt;0,G463&gt;0),"🟠 ATTENTION","🟢 OK")))</f>
        <v/>
      </c>
      <c r="J463" s="87">
        <f>IF(A463="","",IFERROR(VLOOKUP(A463,EQUIPEMENTS!A:Q,17,0),""))</f>
        <v/>
      </c>
      <c r="K463" s="87" t="n"/>
    </row>
    <row r="464" ht="15" customHeight="1" s="59">
      <c r="A464" s="84">
        <f>IFERROR(EQUIPEMENTS!A464,"")</f>
        <v/>
      </c>
      <c r="B464" s="84">
        <f>IF(A464="","",IFERROR(VLOOKUP(A464,EQUIPEMENTS!A:B,2,0),""))</f>
        <v/>
      </c>
      <c r="C464" s="84">
        <f>IF(A464="","",IFERROR(VLOOKUP(A464,EQUIPEMENTS!A:D,4,0),""))</f>
        <v/>
      </c>
      <c r="D464" s="84">
        <f>IF(A464="","",IFERROR(VLOOKUP(A464,EQUIPEMENTS!A:M,13,0),""))</f>
        <v/>
      </c>
      <c r="E464" s="84">
        <f>IF(A464="","",COUNTIFS(MAINT_PREV!B:B,A464,MAINT_PREV!G:G,"Planifiée",MAINT_PREV!E:E,"&lt;"&amp;TODAY(),MAINT_PREV!H:H,""))</f>
        <v/>
      </c>
      <c r="F464" s="84">
        <f>IF(A464="","",COUNTIFS(INTERVENTIONS!B:B,A464,INTERVENTIONS!L:L,"Ouverte"))</f>
        <v/>
      </c>
      <c r="G464" s="84">
        <f>IF(A464="","",COUNTIFS(COMPOSANTS!B:B,A464,COMPOSANTS!G:G,"Défectueux"))</f>
        <v/>
      </c>
      <c r="H464" s="84">
        <f>IF(A464="","",IFERROR(VLOOKUP(A464,EQUIPEMENTS!A:R,18,0),""))</f>
        <v/>
      </c>
      <c r="I464" s="84">
        <f>IF(A464="","",IF(AND(C464="Haute",D464="En panne"),"🔴 CRITIQUE",IF(OR(E464&gt;0,F464&gt;0,G464&gt;0),"🟠 ATTENTION","🟢 OK")))</f>
        <v/>
      </c>
      <c r="J464" s="84">
        <f>IF(A464="","",IFERROR(VLOOKUP(A464,EQUIPEMENTS!A:Q,17,0),""))</f>
        <v/>
      </c>
      <c r="K464" s="84" t="n"/>
    </row>
    <row r="465" ht="15" customHeight="1" s="59">
      <c r="A465" s="87">
        <f>IFERROR(EQUIPEMENTS!A465,"")</f>
        <v/>
      </c>
      <c r="B465" s="87">
        <f>IF(A465="","",IFERROR(VLOOKUP(A465,EQUIPEMENTS!A:B,2,0),""))</f>
        <v/>
      </c>
      <c r="C465" s="87">
        <f>IF(A465="","",IFERROR(VLOOKUP(A465,EQUIPEMENTS!A:D,4,0),""))</f>
        <v/>
      </c>
      <c r="D465" s="87">
        <f>IF(A465="","",IFERROR(VLOOKUP(A465,EQUIPEMENTS!A:M,13,0),""))</f>
        <v/>
      </c>
      <c r="E465" s="87">
        <f>IF(A465="","",COUNTIFS(MAINT_PREV!B:B,A465,MAINT_PREV!G:G,"Planifiée",MAINT_PREV!E:E,"&lt;"&amp;TODAY(),MAINT_PREV!H:H,""))</f>
        <v/>
      </c>
      <c r="F465" s="87">
        <f>IF(A465="","",COUNTIFS(INTERVENTIONS!B:B,A465,INTERVENTIONS!L:L,"Ouverte"))</f>
        <v/>
      </c>
      <c r="G465" s="87">
        <f>IF(A465="","",COUNTIFS(COMPOSANTS!B:B,A465,COMPOSANTS!G:G,"Défectueux"))</f>
        <v/>
      </c>
      <c r="H465" s="87">
        <f>IF(A465="","",IFERROR(VLOOKUP(A465,EQUIPEMENTS!A:R,18,0),""))</f>
        <v/>
      </c>
      <c r="I465" s="87">
        <f>IF(A465="","",IF(AND(C465="Haute",D465="En panne"),"🔴 CRITIQUE",IF(OR(E465&gt;0,F465&gt;0,G465&gt;0),"🟠 ATTENTION","🟢 OK")))</f>
        <v/>
      </c>
      <c r="J465" s="87">
        <f>IF(A465="","",IFERROR(VLOOKUP(A465,EQUIPEMENTS!A:Q,17,0),""))</f>
        <v/>
      </c>
      <c r="K465" s="87" t="n"/>
    </row>
    <row r="466" ht="15" customHeight="1" s="59">
      <c r="A466" s="84">
        <f>IFERROR(EQUIPEMENTS!A466,"")</f>
        <v/>
      </c>
      <c r="B466" s="84">
        <f>IF(A466="","",IFERROR(VLOOKUP(A466,EQUIPEMENTS!A:B,2,0),""))</f>
        <v/>
      </c>
      <c r="C466" s="84">
        <f>IF(A466="","",IFERROR(VLOOKUP(A466,EQUIPEMENTS!A:D,4,0),""))</f>
        <v/>
      </c>
      <c r="D466" s="84">
        <f>IF(A466="","",IFERROR(VLOOKUP(A466,EQUIPEMENTS!A:M,13,0),""))</f>
        <v/>
      </c>
      <c r="E466" s="84">
        <f>IF(A466="","",COUNTIFS(MAINT_PREV!B:B,A466,MAINT_PREV!G:G,"Planifiée",MAINT_PREV!E:E,"&lt;"&amp;TODAY(),MAINT_PREV!H:H,""))</f>
        <v/>
      </c>
      <c r="F466" s="84">
        <f>IF(A466="","",COUNTIFS(INTERVENTIONS!B:B,A466,INTERVENTIONS!L:L,"Ouverte"))</f>
        <v/>
      </c>
      <c r="G466" s="84">
        <f>IF(A466="","",COUNTIFS(COMPOSANTS!B:B,A466,COMPOSANTS!G:G,"Défectueux"))</f>
        <v/>
      </c>
      <c r="H466" s="84">
        <f>IF(A466="","",IFERROR(VLOOKUP(A466,EQUIPEMENTS!A:R,18,0),""))</f>
        <v/>
      </c>
      <c r="I466" s="84">
        <f>IF(A466="","",IF(AND(C466="Haute",D466="En panne"),"🔴 CRITIQUE",IF(OR(E466&gt;0,F466&gt;0,G466&gt;0),"🟠 ATTENTION","🟢 OK")))</f>
        <v/>
      </c>
      <c r="J466" s="84">
        <f>IF(A466="","",IFERROR(VLOOKUP(A466,EQUIPEMENTS!A:Q,17,0),""))</f>
        <v/>
      </c>
      <c r="K466" s="84" t="n"/>
    </row>
    <row r="467" ht="15" customHeight="1" s="59">
      <c r="A467" s="87">
        <f>IFERROR(EQUIPEMENTS!A467,"")</f>
        <v/>
      </c>
      <c r="B467" s="87">
        <f>IF(A467="","",IFERROR(VLOOKUP(A467,EQUIPEMENTS!A:B,2,0),""))</f>
        <v/>
      </c>
      <c r="C467" s="87">
        <f>IF(A467="","",IFERROR(VLOOKUP(A467,EQUIPEMENTS!A:D,4,0),""))</f>
        <v/>
      </c>
      <c r="D467" s="87">
        <f>IF(A467="","",IFERROR(VLOOKUP(A467,EQUIPEMENTS!A:M,13,0),""))</f>
        <v/>
      </c>
      <c r="E467" s="87">
        <f>IF(A467="","",COUNTIFS(MAINT_PREV!B:B,A467,MAINT_PREV!G:G,"Planifiée",MAINT_PREV!E:E,"&lt;"&amp;TODAY(),MAINT_PREV!H:H,""))</f>
        <v/>
      </c>
      <c r="F467" s="87">
        <f>IF(A467="","",COUNTIFS(INTERVENTIONS!B:B,A467,INTERVENTIONS!L:L,"Ouverte"))</f>
        <v/>
      </c>
      <c r="G467" s="87">
        <f>IF(A467="","",COUNTIFS(COMPOSANTS!B:B,A467,COMPOSANTS!G:G,"Défectueux"))</f>
        <v/>
      </c>
      <c r="H467" s="87">
        <f>IF(A467="","",IFERROR(VLOOKUP(A467,EQUIPEMENTS!A:R,18,0),""))</f>
        <v/>
      </c>
      <c r="I467" s="87">
        <f>IF(A467="","",IF(AND(C467="Haute",D467="En panne"),"🔴 CRITIQUE",IF(OR(E467&gt;0,F467&gt;0,G467&gt;0),"🟠 ATTENTION","🟢 OK")))</f>
        <v/>
      </c>
      <c r="J467" s="87">
        <f>IF(A467="","",IFERROR(VLOOKUP(A467,EQUIPEMENTS!A:Q,17,0),""))</f>
        <v/>
      </c>
      <c r="K467" s="87" t="n"/>
    </row>
    <row r="468" ht="15" customHeight="1" s="59">
      <c r="A468" s="84">
        <f>IFERROR(EQUIPEMENTS!A468,"")</f>
        <v/>
      </c>
      <c r="B468" s="84">
        <f>IF(A468="","",IFERROR(VLOOKUP(A468,EQUIPEMENTS!A:B,2,0),""))</f>
        <v/>
      </c>
      <c r="C468" s="84">
        <f>IF(A468="","",IFERROR(VLOOKUP(A468,EQUIPEMENTS!A:D,4,0),""))</f>
        <v/>
      </c>
      <c r="D468" s="84">
        <f>IF(A468="","",IFERROR(VLOOKUP(A468,EQUIPEMENTS!A:M,13,0),""))</f>
        <v/>
      </c>
      <c r="E468" s="84">
        <f>IF(A468="","",COUNTIFS(MAINT_PREV!B:B,A468,MAINT_PREV!G:G,"Planifiée",MAINT_PREV!E:E,"&lt;"&amp;TODAY(),MAINT_PREV!H:H,""))</f>
        <v/>
      </c>
      <c r="F468" s="84">
        <f>IF(A468="","",COUNTIFS(INTERVENTIONS!B:B,A468,INTERVENTIONS!L:L,"Ouverte"))</f>
        <v/>
      </c>
      <c r="G468" s="84">
        <f>IF(A468="","",COUNTIFS(COMPOSANTS!B:B,A468,COMPOSANTS!G:G,"Défectueux"))</f>
        <v/>
      </c>
      <c r="H468" s="84">
        <f>IF(A468="","",IFERROR(VLOOKUP(A468,EQUIPEMENTS!A:R,18,0),""))</f>
        <v/>
      </c>
      <c r="I468" s="84">
        <f>IF(A468="","",IF(AND(C468="Haute",D468="En panne"),"🔴 CRITIQUE",IF(OR(E468&gt;0,F468&gt;0,G468&gt;0),"🟠 ATTENTION","🟢 OK")))</f>
        <v/>
      </c>
      <c r="J468" s="84">
        <f>IF(A468="","",IFERROR(VLOOKUP(A468,EQUIPEMENTS!A:Q,17,0),""))</f>
        <v/>
      </c>
      <c r="K468" s="84" t="n"/>
    </row>
    <row r="469" ht="15" customHeight="1" s="59">
      <c r="A469" s="87">
        <f>IFERROR(EQUIPEMENTS!A469,"")</f>
        <v/>
      </c>
      <c r="B469" s="87">
        <f>IF(A469="","",IFERROR(VLOOKUP(A469,EQUIPEMENTS!A:B,2,0),""))</f>
        <v/>
      </c>
      <c r="C469" s="87">
        <f>IF(A469="","",IFERROR(VLOOKUP(A469,EQUIPEMENTS!A:D,4,0),""))</f>
        <v/>
      </c>
      <c r="D469" s="87">
        <f>IF(A469="","",IFERROR(VLOOKUP(A469,EQUIPEMENTS!A:M,13,0),""))</f>
        <v/>
      </c>
      <c r="E469" s="87">
        <f>IF(A469="","",COUNTIFS(MAINT_PREV!B:B,A469,MAINT_PREV!G:G,"Planifiée",MAINT_PREV!E:E,"&lt;"&amp;TODAY(),MAINT_PREV!H:H,""))</f>
        <v/>
      </c>
      <c r="F469" s="87">
        <f>IF(A469="","",COUNTIFS(INTERVENTIONS!B:B,A469,INTERVENTIONS!L:L,"Ouverte"))</f>
        <v/>
      </c>
      <c r="G469" s="87">
        <f>IF(A469="","",COUNTIFS(COMPOSANTS!B:B,A469,COMPOSANTS!G:G,"Défectueux"))</f>
        <v/>
      </c>
      <c r="H469" s="87">
        <f>IF(A469="","",IFERROR(VLOOKUP(A469,EQUIPEMENTS!A:R,18,0),""))</f>
        <v/>
      </c>
      <c r="I469" s="87">
        <f>IF(A469="","",IF(AND(C469="Haute",D469="En panne"),"🔴 CRITIQUE",IF(OR(E469&gt;0,F469&gt;0,G469&gt;0),"🟠 ATTENTION","🟢 OK")))</f>
        <v/>
      </c>
      <c r="J469" s="87">
        <f>IF(A469="","",IFERROR(VLOOKUP(A469,EQUIPEMENTS!A:Q,17,0),""))</f>
        <v/>
      </c>
      <c r="K469" s="87" t="n"/>
    </row>
    <row r="470" ht="15" customHeight="1" s="59">
      <c r="A470" s="84">
        <f>IFERROR(EQUIPEMENTS!A470,"")</f>
        <v/>
      </c>
      <c r="B470" s="84">
        <f>IF(A470="","",IFERROR(VLOOKUP(A470,EQUIPEMENTS!A:B,2,0),""))</f>
        <v/>
      </c>
      <c r="C470" s="84">
        <f>IF(A470="","",IFERROR(VLOOKUP(A470,EQUIPEMENTS!A:D,4,0),""))</f>
        <v/>
      </c>
      <c r="D470" s="84">
        <f>IF(A470="","",IFERROR(VLOOKUP(A470,EQUIPEMENTS!A:M,13,0),""))</f>
        <v/>
      </c>
      <c r="E470" s="84">
        <f>IF(A470="","",COUNTIFS(MAINT_PREV!B:B,A470,MAINT_PREV!G:G,"Planifiée",MAINT_PREV!E:E,"&lt;"&amp;TODAY(),MAINT_PREV!H:H,""))</f>
        <v/>
      </c>
      <c r="F470" s="84">
        <f>IF(A470="","",COUNTIFS(INTERVENTIONS!B:B,A470,INTERVENTIONS!L:L,"Ouverte"))</f>
        <v/>
      </c>
      <c r="G470" s="84">
        <f>IF(A470="","",COUNTIFS(COMPOSANTS!B:B,A470,COMPOSANTS!G:G,"Défectueux"))</f>
        <v/>
      </c>
      <c r="H470" s="84">
        <f>IF(A470="","",IFERROR(VLOOKUP(A470,EQUIPEMENTS!A:R,18,0),""))</f>
        <v/>
      </c>
      <c r="I470" s="84">
        <f>IF(A470="","",IF(AND(C470="Haute",D470="En panne"),"🔴 CRITIQUE",IF(OR(E470&gt;0,F470&gt;0,G470&gt;0),"🟠 ATTENTION","🟢 OK")))</f>
        <v/>
      </c>
      <c r="J470" s="84">
        <f>IF(A470="","",IFERROR(VLOOKUP(A470,EQUIPEMENTS!A:Q,17,0),""))</f>
        <v/>
      </c>
      <c r="K470" s="84" t="n"/>
    </row>
    <row r="471" ht="15" customHeight="1" s="59">
      <c r="A471" s="87">
        <f>IFERROR(EQUIPEMENTS!A471,"")</f>
        <v/>
      </c>
      <c r="B471" s="87">
        <f>IF(A471="","",IFERROR(VLOOKUP(A471,EQUIPEMENTS!A:B,2,0),""))</f>
        <v/>
      </c>
      <c r="C471" s="87">
        <f>IF(A471="","",IFERROR(VLOOKUP(A471,EQUIPEMENTS!A:D,4,0),""))</f>
        <v/>
      </c>
      <c r="D471" s="87">
        <f>IF(A471="","",IFERROR(VLOOKUP(A471,EQUIPEMENTS!A:M,13,0),""))</f>
        <v/>
      </c>
      <c r="E471" s="87">
        <f>IF(A471="","",COUNTIFS(MAINT_PREV!B:B,A471,MAINT_PREV!G:G,"Planifiée",MAINT_PREV!E:E,"&lt;"&amp;TODAY(),MAINT_PREV!H:H,""))</f>
        <v/>
      </c>
      <c r="F471" s="87">
        <f>IF(A471="","",COUNTIFS(INTERVENTIONS!B:B,A471,INTERVENTIONS!L:L,"Ouverte"))</f>
        <v/>
      </c>
      <c r="G471" s="87">
        <f>IF(A471="","",COUNTIFS(COMPOSANTS!B:B,A471,COMPOSANTS!G:G,"Défectueux"))</f>
        <v/>
      </c>
      <c r="H471" s="87">
        <f>IF(A471="","",IFERROR(VLOOKUP(A471,EQUIPEMENTS!A:R,18,0),""))</f>
        <v/>
      </c>
      <c r="I471" s="87">
        <f>IF(A471="","",IF(AND(C471="Haute",D471="En panne"),"🔴 CRITIQUE",IF(OR(E471&gt;0,F471&gt;0,G471&gt;0),"🟠 ATTENTION","🟢 OK")))</f>
        <v/>
      </c>
      <c r="J471" s="87">
        <f>IF(A471="","",IFERROR(VLOOKUP(A471,EQUIPEMENTS!A:Q,17,0),""))</f>
        <v/>
      </c>
      <c r="K471" s="87" t="n"/>
    </row>
    <row r="472" ht="15" customHeight="1" s="59">
      <c r="A472" s="84">
        <f>IFERROR(EQUIPEMENTS!A472,"")</f>
        <v/>
      </c>
      <c r="B472" s="84">
        <f>IF(A472="","",IFERROR(VLOOKUP(A472,EQUIPEMENTS!A:B,2,0),""))</f>
        <v/>
      </c>
      <c r="C472" s="84">
        <f>IF(A472="","",IFERROR(VLOOKUP(A472,EQUIPEMENTS!A:D,4,0),""))</f>
        <v/>
      </c>
      <c r="D472" s="84">
        <f>IF(A472="","",IFERROR(VLOOKUP(A472,EQUIPEMENTS!A:M,13,0),""))</f>
        <v/>
      </c>
      <c r="E472" s="84">
        <f>IF(A472="","",COUNTIFS(MAINT_PREV!B:B,A472,MAINT_PREV!G:G,"Planifiée",MAINT_PREV!E:E,"&lt;"&amp;TODAY(),MAINT_PREV!H:H,""))</f>
        <v/>
      </c>
      <c r="F472" s="84">
        <f>IF(A472="","",COUNTIFS(INTERVENTIONS!B:B,A472,INTERVENTIONS!L:L,"Ouverte"))</f>
        <v/>
      </c>
      <c r="G472" s="84">
        <f>IF(A472="","",COUNTIFS(COMPOSANTS!B:B,A472,COMPOSANTS!G:G,"Défectueux"))</f>
        <v/>
      </c>
      <c r="H472" s="84">
        <f>IF(A472="","",IFERROR(VLOOKUP(A472,EQUIPEMENTS!A:R,18,0),""))</f>
        <v/>
      </c>
      <c r="I472" s="84">
        <f>IF(A472="","",IF(AND(C472="Haute",D472="En panne"),"🔴 CRITIQUE",IF(OR(E472&gt;0,F472&gt;0,G472&gt;0),"🟠 ATTENTION","🟢 OK")))</f>
        <v/>
      </c>
      <c r="J472" s="84">
        <f>IF(A472="","",IFERROR(VLOOKUP(A472,EQUIPEMENTS!A:Q,17,0),""))</f>
        <v/>
      </c>
      <c r="K472" s="84" t="n"/>
    </row>
    <row r="473" ht="15" customHeight="1" s="59">
      <c r="A473" s="87">
        <f>IFERROR(EQUIPEMENTS!A473,"")</f>
        <v/>
      </c>
      <c r="B473" s="87">
        <f>IF(A473="","",IFERROR(VLOOKUP(A473,EQUIPEMENTS!A:B,2,0),""))</f>
        <v/>
      </c>
      <c r="C473" s="87">
        <f>IF(A473="","",IFERROR(VLOOKUP(A473,EQUIPEMENTS!A:D,4,0),""))</f>
        <v/>
      </c>
      <c r="D473" s="87">
        <f>IF(A473="","",IFERROR(VLOOKUP(A473,EQUIPEMENTS!A:M,13,0),""))</f>
        <v/>
      </c>
      <c r="E473" s="87">
        <f>IF(A473="","",COUNTIFS(MAINT_PREV!B:B,A473,MAINT_PREV!G:G,"Planifiée",MAINT_PREV!E:E,"&lt;"&amp;TODAY(),MAINT_PREV!H:H,""))</f>
        <v/>
      </c>
      <c r="F473" s="87">
        <f>IF(A473="","",COUNTIFS(INTERVENTIONS!B:B,A473,INTERVENTIONS!L:L,"Ouverte"))</f>
        <v/>
      </c>
      <c r="G473" s="87">
        <f>IF(A473="","",COUNTIFS(COMPOSANTS!B:B,A473,COMPOSANTS!G:G,"Défectueux"))</f>
        <v/>
      </c>
      <c r="H473" s="87">
        <f>IF(A473="","",IFERROR(VLOOKUP(A473,EQUIPEMENTS!A:R,18,0),""))</f>
        <v/>
      </c>
      <c r="I473" s="87">
        <f>IF(A473="","",IF(AND(C473="Haute",D473="En panne"),"🔴 CRITIQUE",IF(OR(E473&gt;0,F473&gt;0,G473&gt;0),"🟠 ATTENTION","🟢 OK")))</f>
        <v/>
      </c>
      <c r="J473" s="87">
        <f>IF(A473="","",IFERROR(VLOOKUP(A473,EQUIPEMENTS!A:Q,17,0),""))</f>
        <v/>
      </c>
      <c r="K473" s="87" t="n"/>
    </row>
    <row r="474" ht="15" customHeight="1" s="59">
      <c r="A474" s="84">
        <f>IFERROR(EQUIPEMENTS!A474,"")</f>
        <v/>
      </c>
      <c r="B474" s="84">
        <f>IF(A474="","",IFERROR(VLOOKUP(A474,EQUIPEMENTS!A:B,2,0),""))</f>
        <v/>
      </c>
      <c r="C474" s="84">
        <f>IF(A474="","",IFERROR(VLOOKUP(A474,EQUIPEMENTS!A:D,4,0),""))</f>
        <v/>
      </c>
      <c r="D474" s="84">
        <f>IF(A474="","",IFERROR(VLOOKUP(A474,EQUIPEMENTS!A:M,13,0),""))</f>
        <v/>
      </c>
      <c r="E474" s="84">
        <f>IF(A474="","",COUNTIFS(MAINT_PREV!B:B,A474,MAINT_PREV!G:G,"Planifiée",MAINT_PREV!E:E,"&lt;"&amp;TODAY(),MAINT_PREV!H:H,""))</f>
        <v/>
      </c>
      <c r="F474" s="84">
        <f>IF(A474="","",COUNTIFS(INTERVENTIONS!B:B,A474,INTERVENTIONS!L:L,"Ouverte"))</f>
        <v/>
      </c>
      <c r="G474" s="84">
        <f>IF(A474="","",COUNTIFS(COMPOSANTS!B:B,A474,COMPOSANTS!G:G,"Défectueux"))</f>
        <v/>
      </c>
      <c r="H474" s="84">
        <f>IF(A474="","",IFERROR(VLOOKUP(A474,EQUIPEMENTS!A:R,18,0),""))</f>
        <v/>
      </c>
      <c r="I474" s="84">
        <f>IF(A474="","",IF(AND(C474="Haute",D474="En panne"),"🔴 CRITIQUE",IF(OR(E474&gt;0,F474&gt;0,G474&gt;0),"🟠 ATTENTION","🟢 OK")))</f>
        <v/>
      </c>
      <c r="J474" s="84">
        <f>IF(A474="","",IFERROR(VLOOKUP(A474,EQUIPEMENTS!A:Q,17,0),""))</f>
        <v/>
      </c>
      <c r="K474" s="84" t="n"/>
    </row>
    <row r="475" ht="15" customHeight="1" s="59">
      <c r="A475" s="87">
        <f>IFERROR(EQUIPEMENTS!A475,"")</f>
        <v/>
      </c>
      <c r="B475" s="87">
        <f>IF(A475="","",IFERROR(VLOOKUP(A475,EQUIPEMENTS!A:B,2,0),""))</f>
        <v/>
      </c>
      <c r="C475" s="87">
        <f>IF(A475="","",IFERROR(VLOOKUP(A475,EQUIPEMENTS!A:D,4,0),""))</f>
        <v/>
      </c>
      <c r="D475" s="87">
        <f>IF(A475="","",IFERROR(VLOOKUP(A475,EQUIPEMENTS!A:M,13,0),""))</f>
        <v/>
      </c>
      <c r="E475" s="87">
        <f>IF(A475="","",COUNTIFS(MAINT_PREV!B:B,A475,MAINT_PREV!G:G,"Planifiée",MAINT_PREV!E:E,"&lt;"&amp;TODAY(),MAINT_PREV!H:H,""))</f>
        <v/>
      </c>
      <c r="F475" s="87">
        <f>IF(A475="","",COUNTIFS(INTERVENTIONS!B:B,A475,INTERVENTIONS!L:L,"Ouverte"))</f>
        <v/>
      </c>
      <c r="G475" s="87">
        <f>IF(A475="","",COUNTIFS(COMPOSANTS!B:B,A475,COMPOSANTS!G:G,"Défectueux"))</f>
        <v/>
      </c>
      <c r="H475" s="87">
        <f>IF(A475="","",IFERROR(VLOOKUP(A475,EQUIPEMENTS!A:R,18,0),""))</f>
        <v/>
      </c>
      <c r="I475" s="87">
        <f>IF(A475="","",IF(AND(C475="Haute",D475="En panne"),"🔴 CRITIQUE",IF(OR(E475&gt;0,F475&gt;0,G475&gt;0),"🟠 ATTENTION","🟢 OK")))</f>
        <v/>
      </c>
      <c r="J475" s="87">
        <f>IF(A475="","",IFERROR(VLOOKUP(A475,EQUIPEMENTS!A:Q,17,0),""))</f>
        <v/>
      </c>
      <c r="K475" s="87" t="n"/>
    </row>
    <row r="476" ht="15" customHeight="1" s="59">
      <c r="A476" s="84">
        <f>IFERROR(EQUIPEMENTS!A476,"")</f>
        <v/>
      </c>
      <c r="B476" s="84">
        <f>IF(A476="","",IFERROR(VLOOKUP(A476,EQUIPEMENTS!A:B,2,0),""))</f>
        <v/>
      </c>
      <c r="C476" s="84">
        <f>IF(A476="","",IFERROR(VLOOKUP(A476,EQUIPEMENTS!A:D,4,0),""))</f>
        <v/>
      </c>
      <c r="D476" s="84">
        <f>IF(A476="","",IFERROR(VLOOKUP(A476,EQUIPEMENTS!A:M,13,0),""))</f>
        <v/>
      </c>
      <c r="E476" s="84">
        <f>IF(A476="","",COUNTIFS(MAINT_PREV!B:B,A476,MAINT_PREV!G:G,"Planifiée",MAINT_PREV!E:E,"&lt;"&amp;TODAY(),MAINT_PREV!H:H,""))</f>
        <v/>
      </c>
      <c r="F476" s="84">
        <f>IF(A476="","",COUNTIFS(INTERVENTIONS!B:B,A476,INTERVENTIONS!L:L,"Ouverte"))</f>
        <v/>
      </c>
      <c r="G476" s="84">
        <f>IF(A476="","",COUNTIFS(COMPOSANTS!B:B,A476,COMPOSANTS!G:G,"Défectueux"))</f>
        <v/>
      </c>
      <c r="H476" s="84">
        <f>IF(A476="","",IFERROR(VLOOKUP(A476,EQUIPEMENTS!A:R,18,0),""))</f>
        <v/>
      </c>
      <c r="I476" s="84">
        <f>IF(A476="","",IF(AND(C476="Haute",D476="En panne"),"🔴 CRITIQUE",IF(OR(E476&gt;0,F476&gt;0,G476&gt;0),"🟠 ATTENTION","🟢 OK")))</f>
        <v/>
      </c>
      <c r="J476" s="84">
        <f>IF(A476="","",IFERROR(VLOOKUP(A476,EQUIPEMENTS!A:Q,17,0),""))</f>
        <v/>
      </c>
      <c r="K476" s="84" t="n"/>
    </row>
    <row r="477" ht="15" customHeight="1" s="59">
      <c r="A477" s="87">
        <f>IFERROR(EQUIPEMENTS!A477,"")</f>
        <v/>
      </c>
      <c r="B477" s="87">
        <f>IF(A477="","",IFERROR(VLOOKUP(A477,EQUIPEMENTS!A:B,2,0),""))</f>
        <v/>
      </c>
      <c r="C477" s="87">
        <f>IF(A477="","",IFERROR(VLOOKUP(A477,EQUIPEMENTS!A:D,4,0),""))</f>
        <v/>
      </c>
      <c r="D477" s="87">
        <f>IF(A477="","",IFERROR(VLOOKUP(A477,EQUIPEMENTS!A:M,13,0),""))</f>
        <v/>
      </c>
      <c r="E477" s="87">
        <f>IF(A477="","",COUNTIFS(MAINT_PREV!B:B,A477,MAINT_PREV!G:G,"Planifiée",MAINT_PREV!E:E,"&lt;"&amp;TODAY(),MAINT_PREV!H:H,""))</f>
        <v/>
      </c>
      <c r="F477" s="87">
        <f>IF(A477="","",COUNTIFS(INTERVENTIONS!B:B,A477,INTERVENTIONS!L:L,"Ouverte"))</f>
        <v/>
      </c>
      <c r="G477" s="87">
        <f>IF(A477="","",COUNTIFS(COMPOSANTS!B:B,A477,COMPOSANTS!G:G,"Défectueux"))</f>
        <v/>
      </c>
      <c r="H477" s="87">
        <f>IF(A477="","",IFERROR(VLOOKUP(A477,EQUIPEMENTS!A:R,18,0),""))</f>
        <v/>
      </c>
      <c r="I477" s="87">
        <f>IF(A477="","",IF(AND(C477="Haute",D477="En panne"),"🔴 CRITIQUE",IF(OR(E477&gt;0,F477&gt;0,G477&gt;0),"🟠 ATTENTION","🟢 OK")))</f>
        <v/>
      </c>
      <c r="J477" s="87">
        <f>IF(A477="","",IFERROR(VLOOKUP(A477,EQUIPEMENTS!A:Q,17,0),""))</f>
        <v/>
      </c>
      <c r="K477" s="87" t="n"/>
    </row>
    <row r="478" ht="15" customHeight="1" s="59">
      <c r="A478" s="84">
        <f>IFERROR(EQUIPEMENTS!A478,"")</f>
        <v/>
      </c>
      <c r="B478" s="84">
        <f>IF(A478="","",IFERROR(VLOOKUP(A478,EQUIPEMENTS!A:B,2,0),""))</f>
        <v/>
      </c>
      <c r="C478" s="84">
        <f>IF(A478="","",IFERROR(VLOOKUP(A478,EQUIPEMENTS!A:D,4,0),""))</f>
        <v/>
      </c>
      <c r="D478" s="84">
        <f>IF(A478="","",IFERROR(VLOOKUP(A478,EQUIPEMENTS!A:M,13,0),""))</f>
        <v/>
      </c>
      <c r="E478" s="84">
        <f>IF(A478="","",COUNTIFS(MAINT_PREV!B:B,A478,MAINT_PREV!G:G,"Planifiée",MAINT_PREV!E:E,"&lt;"&amp;TODAY(),MAINT_PREV!H:H,""))</f>
        <v/>
      </c>
      <c r="F478" s="84">
        <f>IF(A478="","",COUNTIFS(INTERVENTIONS!B:B,A478,INTERVENTIONS!L:L,"Ouverte"))</f>
        <v/>
      </c>
      <c r="G478" s="84">
        <f>IF(A478="","",COUNTIFS(COMPOSANTS!B:B,A478,COMPOSANTS!G:G,"Défectueux"))</f>
        <v/>
      </c>
      <c r="H478" s="84">
        <f>IF(A478="","",IFERROR(VLOOKUP(A478,EQUIPEMENTS!A:R,18,0),""))</f>
        <v/>
      </c>
      <c r="I478" s="84">
        <f>IF(A478="","",IF(AND(C478="Haute",D478="En panne"),"🔴 CRITIQUE",IF(OR(E478&gt;0,F478&gt;0,G478&gt;0),"🟠 ATTENTION","🟢 OK")))</f>
        <v/>
      </c>
      <c r="J478" s="84">
        <f>IF(A478="","",IFERROR(VLOOKUP(A478,EQUIPEMENTS!A:Q,17,0),""))</f>
        <v/>
      </c>
      <c r="K478" s="84" t="n"/>
    </row>
    <row r="479" ht="15" customHeight="1" s="59">
      <c r="A479" s="87">
        <f>IFERROR(EQUIPEMENTS!A479,"")</f>
        <v/>
      </c>
      <c r="B479" s="87">
        <f>IF(A479="","",IFERROR(VLOOKUP(A479,EQUIPEMENTS!A:B,2,0),""))</f>
        <v/>
      </c>
      <c r="C479" s="87">
        <f>IF(A479="","",IFERROR(VLOOKUP(A479,EQUIPEMENTS!A:D,4,0),""))</f>
        <v/>
      </c>
      <c r="D479" s="87">
        <f>IF(A479="","",IFERROR(VLOOKUP(A479,EQUIPEMENTS!A:M,13,0),""))</f>
        <v/>
      </c>
      <c r="E479" s="87">
        <f>IF(A479="","",COUNTIFS(MAINT_PREV!B:B,A479,MAINT_PREV!G:G,"Planifiée",MAINT_PREV!E:E,"&lt;"&amp;TODAY(),MAINT_PREV!H:H,""))</f>
        <v/>
      </c>
      <c r="F479" s="87">
        <f>IF(A479="","",COUNTIFS(INTERVENTIONS!B:B,A479,INTERVENTIONS!L:L,"Ouverte"))</f>
        <v/>
      </c>
      <c r="G479" s="87">
        <f>IF(A479="","",COUNTIFS(COMPOSANTS!B:B,A479,COMPOSANTS!G:G,"Défectueux"))</f>
        <v/>
      </c>
      <c r="H479" s="87">
        <f>IF(A479="","",IFERROR(VLOOKUP(A479,EQUIPEMENTS!A:R,18,0),""))</f>
        <v/>
      </c>
      <c r="I479" s="87">
        <f>IF(A479="","",IF(AND(C479="Haute",D479="En panne"),"🔴 CRITIQUE",IF(OR(E479&gt;0,F479&gt;0,G479&gt;0),"🟠 ATTENTION","🟢 OK")))</f>
        <v/>
      </c>
      <c r="J479" s="87">
        <f>IF(A479="","",IFERROR(VLOOKUP(A479,EQUIPEMENTS!A:Q,17,0),""))</f>
        <v/>
      </c>
      <c r="K479" s="87" t="n"/>
    </row>
    <row r="480" ht="15" customHeight="1" s="59">
      <c r="A480" s="84">
        <f>IFERROR(EQUIPEMENTS!A480,"")</f>
        <v/>
      </c>
      <c r="B480" s="84">
        <f>IF(A480="","",IFERROR(VLOOKUP(A480,EQUIPEMENTS!A:B,2,0),""))</f>
        <v/>
      </c>
      <c r="C480" s="84">
        <f>IF(A480="","",IFERROR(VLOOKUP(A480,EQUIPEMENTS!A:D,4,0),""))</f>
        <v/>
      </c>
      <c r="D480" s="84">
        <f>IF(A480="","",IFERROR(VLOOKUP(A480,EQUIPEMENTS!A:M,13,0),""))</f>
        <v/>
      </c>
      <c r="E480" s="84">
        <f>IF(A480="","",COUNTIFS(MAINT_PREV!B:B,A480,MAINT_PREV!G:G,"Planifiée",MAINT_PREV!E:E,"&lt;"&amp;TODAY(),MAINT_PREV!H:H,""))</f>
        <v/>
      </c>
      <c r="F480" s="84">
        <f>IF(A480="","",COUNTIFS(INTERVENTIONS!B:B,A480,INTERVENTIONS!L:L,"Ouverte"))</f>
        <v/>
      </c>
      <c r="G480" s="84">
        <f>IF(A480="","",COUNTIFS(COMPOSANTS!B:B,A480,COMPOSANTS!G:G,"Défectueux"))</f>
        <v/>
      </c>
      <c r="H480" s="84">
        <f>IF(A480="","",IFERROR(VLOOKUP(A480,EQUIPEMENTS!A:R,18,0),""))</f>
        <v/>
      </c>
      <c r="I480" s="84">
        <f>IF(A480="","",IF(AND(C480="Haute",D480="En panne"),"🔴 CRITIQUE",IF(OR(E480&gt;0,F480&gt;0,G480&gt;0),"🟠 ATTENTION","🟢 OK")))</f>
        <v/>
      </c>
      <c r="J480" s="84">
        <f>IF(A480="","",IFERROR(VLOOKUP(A480,EQUIPEMENTS!A:Q,17,0),""))</f>
        <v/>
      </c>
      <c r="K480" s="84" t="n"/>
    </row>
    <row r="481" ht="15" customHeight="1" s="59">
      <c r="A481" s="87">
        <f>IFERROR(EQUIPEMENTS!A481,"")</f>
        <v/>
      </c>
      <c r="B481" s="87">
        <f>IF(A481="","",IFERROR(VLOOKUP(A481,EQUIPEMENTS!A:B,2,0),""))</f>
        <v/>
      </c>
      <c r="C481" s="87">
        <f>IF(A481="","",IFERROR(VLOOKUP(A481,EQUIPEMENTS!A:D,4,0),""))</f>
        <v/>
      </c>
      <c r="D481" s="87">
        <f>IF(A481="","",IFERROR(VLOOKUP(A481,EQUIPEMENTS!A:M,13,0),""))</f>
        <v/>
      </c>
      <c r="E481" s="87">
        <f>IF(A481="","",COUNTIFS(MAINT_PREV!B:B,A481,MAINT_PREV!G:G,"Planifiée",MAINT_PREV!E:E,"&lt;"&amp;TODAY(),MAINT_PREV!H:H,""))</f>
        <v/>
      </c>
      <c r="F481" s="87">
        <f>IF(A481="","",COUNTIFS(INTERVENTIONS!B:B,A481,INTERVENTIONS!L:L,"Ouverte"))</f>
        <v/>
      </c>
      <c r="G481" s="87">
        <f>IF(A481="","",COUNTIFS(COMPOSANTS!B:B,A481,COMPOSANTS!G:G,"Défectueux"))</f>
        <v/>
      </c>
      <c r="H481" s="87">
        <f>IF(A481="","",IFERROR(VLOOKUP(A481,EQUIPEMENTS!A:R,18,0),""))</f>
        <v/>
      </c>
      <c r="I481" s="87">
        <f>IF(A481="","",IF(AND(C481="Haute",D481="En panne"),"🔴 CRITIQUE",IF(OR(E481&gt;0,F481&gt;0,G481&gt;0),"🟠 ATTENTION","🟢 OK")))</f>
        <v/>
      </c>
      <c r="J481" s="87">
        <f>IF(A481="","",IFERROR(VLOOKUP(A481,EQUIPEMENTS!A:Q,17,0),""))</f>
        <v/>
      </c>
      <c r="K481" s="87" t="n"/>
    </row>
    <row r="482" ht="15" customHeight="1" s="59">
      <c r="A482" s="84">
        <f>IFERROR(EQUIPEMENTS!A482,"")</f>
        <v/>
      </c>
      <c r="B482" s="84">
        <f>IF(A482="","",IFERROR(VLOOKUP(A482,EQUIPEMENTS!A:B,2,0),""))</f>
        <v/>
      </c>
      <c r="C482" s="84">
        <f>IF(A482="","",IFERROR(VLOOKUP(A482,EQUIPEMENTS!A:D,4,0),""))</f>
        <v/>
      </c>
      <c r="D482" s="84">
        <f>IF(A482="","",IFERROR(VLOOKUP(A482,EQUIPEMENTS!A:M,13,0),""))</f>
        <v/>
      </c>
      <c r="E482" s="84">
        <f>IF(A482="","",COUNTIFS(MAINT_PREV!B:B,A482,MAINT_PREV!G:G,"Planifiée",MAINT_PREV!E:E,"&lt;"&amp;TODAY(),MAINT_PREV!H:H,""))</f>
        <v/>
      </c>
      <c r="F482" s="84">
        <f>IF(A482="","",COUNTIFS(INTERVENTIONS!B:B,A482,INTERVENTIONS!L:L,"Ouverte"))</f>
        <v/>
      </c>
      <c r="G482" s="84">
        <f>IF(A482="","",COUNTIFS(COMPOSANTS!B:B,A482,COMPOSANTS!G:G,"Défectueux"))</f>
        <v/>
      </c>
      <c r="H482" s="84">
        <f>IF(A482="","",IFERROR(VLOOKUP(A482,EQUIPEMENTS!A:R,18,0),""))</f>
        <v/>
      </c>
      <c r="I482" s="84">
        <f>IF(A482="","",IF(AND(C482="Haute",D482="En panne"),"🔴 CRITIQUE",IF(OR(E482&gt;0,F482&gt;0,G482&gt;0),"🟠 ATTENTION","🟢 OK")))</f>
        <v/>
      </c>
      <c r="J482" s="84">
        <f>IF(A482="","",IFERROR(VLOOKUP(A482,EQUIPEMENTS!A:Q,17,0),""))</f>
        <v/>
      </c>
      <c r="K482" s="84" t="n"/>
    </row>
    <row r="483" ht="15" customHeight="1" s="59">
      <c r="A483" s="87">
        <f>IFERROR(EQUIPEMENTS!A483,"")</f>
        <v/>
      </c>
      <c r="B483" s="87">
        <f>IF(A483="","",IFERROR(VLOOKUP(A483,EQUIPEMENTS!A:B,2,0),""))</f>
        <v/>
      </c>
      <c r="C483" s="87">
        <f>IF(A483="","",IFERROR(VLOOKUP(A483,EQUIPEMENTS!A:D,4,0),""))</f>
        <v/>
      </c>
      <c r="D483" s="87">
        <f>IF(A483="","",IFERROR(VLOOKUP(A483,EQUIPEMENTS!A:M,13,0),""))</f>
        <v/>
      </c>
      <c r="E483" s="87">
        <f>IF(A483="","",COUNTIFS(MAINT_PREV!B:B,A483,MAINT_PREV!G:G,"Planifiée",MAINT_PREV!E:E,"&lt;"&amp;TODAY(),MAINT_PREV!H:H,""))</f>
        <v/>
      </c>
      <c r="F483" s="87">
        <f>IF(A483="","",COUNTIFS(INTERVENTIONS!B:B,A483,INTERVENTIONS!L:L,"Ouverte"))</f>
        <v/>
      </c>
      <c r="G483" s="87">
        <f>IF(A483="","",COUNTIFS(COMPOSANTS!B:B,A483,COMPOSANTS!G:G,"Défectueux"))</f>
        <v/>
      </c>
      <c r="H483" s="87">
        <f>IF(A483="","",IFERROR(VLOOKUP(A483,EQUIPEMENTS!A:R,18,0),""))</f>
        <v/>
      </c>
      <c r="I483" s="87">
        <f>IF(A483="","",IF(AND(C483="Haute",D483="En panne"),"🔴 CRITIQUE",IF(OR(E483&gt;0,F483&gt;0,G483&gt;0),"🟠 ATTENTION","🟢 OK")))</f>
        <v/>
      </c>
      <c r="J483" s="87">
        <f>IF(A483="","",IFERROR(VLOOKUP(A483,EQUIPEMENTS!A:Q,17,0),""))</f>
        <v/>
      </c>
      <c r="K483" s="87" t="n"/>
    </row>
    <row r="484" ht="15" customHeight="1" s="59">
      <c r="A484" s="84">
        <f>IFERROR(EQUIPEMENTS!A484,"")</f>
        <v/>
      </c>
      <c r="B484" s="84">
        <f>IF(A484="","",IFERROR(VLOOKUP(A484,EQUIPEMENTS!A:B,2,0),""))</f>
        <v/>
      </c>
      <c r="C484" s="84">
        <f>IF(A484="","",IFERROR(VLOOKUP(A484,EQUIPEMENTS!A:D,4,0),""))</f>
        <v/>
      </c>
      <c r="D484" s="84">
        <f>IF(A484="","",IFERROR(VLOOKUP(A484,EQUIPEMENTS!A:M,13,0),""))</f>
        <v/>
      </c>
      <c r="E484" s="84">
        <f>IF(A484="","",COUNTIFS(MAINT_PREV!B:B,A484,MAINT_PREV!G:G,"Planifiée",MAINT_PREV!E:E,"&lt;"&amp;TODAY(),MAINT_PREV!H:H,""))</f>
        <v/>
      </c>
      <c r="F484" s="84">
        <f>IF(A484="","",COUNTIFS(INTERVENTIONS!B:B,A484,INTERVENTIONS!L:L,"Ouverte"))</f>
        <v/>
      </c>
      <c r="G484" s="84">
        <f>IF(A484="","",COUNTIFS(COMPOSANTS!B:B,A484,COMPOSANTS!G:G,"Défectueux"))</f>
        <v/>
      </c>
      <c r="H484" s="84">
        <f>IF(A484="","",IFERROR(VLOOKUP(A484,EQUIPEMENTS!A:R,18,0),""))</f>
        <v/>
      </c>
      <c r="I484" s="84">
        <f>IF(A484="","",IF(AND(C484="Haute",D484="En panne"),"🔴 CRITIQUE",IF(OR(E484&gt;0,F484&gt;0,G484&gt;0),"🟠 ATTENTION","🟢 OK")))</f>
        <v/>
      </c>
      <c r="J484" s="84">
        <f>IF(A484="","",IFERROR(VLOOKUP(A484,EQUIPEMENTS!A:Q,17,0),""))</f>
        <v/>
      </c>
      <c r="K484" s="84" t="n"/>
    </row>
    <row r="485" ht="15" customHeight="1" s="59">
      <c r="A485" s="87">
        <f>IFERROR(EQUIPEMENTS!A485,"")</f>
        <v/>
      </c>
      <c r="B485" s="87">
        <f>IF(A485="","",IFERROR(VLOOKUP(A485,EQUIPEMENTS!A:B,2,0),""))</f>
        <v/>
      </c>
      <c r="C485" s="87">
        <f>IF(A485="","",IFERROR(VLOOKUP(A485,EQUIPEMENTS!A:D,4,0),""))</f>
        <v/>
      </c>
      <c r="D485" s="87">
        <f>IF(A485="","",IFERROR(VLOOKUP(A485,EQUIPEMENTS!A:M,13,0),""))</f>
        <v/>
      </c>
      <c r="E485" s="87">
        <f>IF(A485="","",COUNTIFS(MAINT_PREV!B:B,A485,MAINT_PREV!G:G,"Planifiée",MAINT_PREV!E:E,"&lt;"&amp;TODAY(),MAINT_PREV!H:H,""))</f>
        <v/>
      </c>
      <c r="F485" s="87">
        <f>IF(A485="","",COUNTIFS(INTERVENTIONS!B:B,A485,INTERVENTIONS!L:L,"Ouverte"))</f>
        <v/>
      </c>
      <c r="G485" s="87">
        <f>IF(A485="","",COUNTIFS(COMPOSANTS!B:B,A485,COMPOSANTS!G:G,"Défectueux"))</f>
        <v/>
      </c>
      <c r="H485" s="87">
        <f>IF(A485="","",IFERROR(VLOOKUP(A485,EQUIPEMENTS!A:R,18,0),""))</f>
        <v/>
      </c>
      <c r="I485" s="87">
        <f>IF(A485="","",IF(AND(C485="Haute",D485="En panne"),"🔴 CRITIQUE",IF(OR(E485&gt;0,F485&gt;0,G485&gt;0),"🟠 ATTENTION","🟢 OK")))</f>
        <v/>
      </c>
      <c r="J485" s="87">
        <f>IF(A485="","",IFERROR(VLOOKUP(A485,EQUIPEMENTS!A:Q,17,0),""))</f>
        <v/>
      </c>
      <c r="K485" s="87" t="n"/>
    </row>
    <row r="486" ht="15" customHeight="1" s="59">
      <c r="A486" s="84">
        <f>IFERROR(EQUIPEMENTS!A486,"")</f>
        <v/>
      </c>
      <c r="B486" s="84">
        <f>IF(A486="","",IFERROR(VLOOKUP(A486,EQUIPEMENTS!A:B,2,0),""))</f>
        <v/>
      </c>
      <c r="C486" s="84">
        <f>IF(A486="","",IFERROR(VLOOKUP(A486,EQUIPEMENTS!A:D,4,0),""))</f>
        <v/>
      </c>
      <c r="D486" s="84">
        <f>IF(A486="","",IFERROR(VLOOKUP(A486,EQUIPEMENTS!A:M,13,0),""))</f>
        <v/>
      </c>
      <c r="E486" s="84">
        <f>IF(A486="","",COUNTIFS(MAINT_PREV!B:B,A486,MAINT_PREV!G:G,"Planifiée",MAINT_PREV!E:E,"&lt;"&amp;TODAY(),MAINT_PREV!H:H,""))</f>
        <v/>
      </c>
      <c r="F486" s="84">
        <f>IF(A486="","",COUNTIFS(INTERVENTIONS!B:B,A486,INTERVENTIONS!L:L,"Ouverte"))</f>
        <v/>
      </c>
      <c r="G486" s="84">
        <f>IF(A486="","",COUNTIFS(COMPOSANTS!B:B,A486,COMPOSANTS!G:G,"Défectueux"))</f>
        <v/>
      </c>
      <c r="H486" s="84">
        <f>IF(A486="","",IFERROR(VLOOKUP(A486,EQUIPEMENTS!A:R,18,0),""))</f>
        <v/>
      </c>
      <c r="I486" s="84">
        <f>IF(A486="","",IF(AND(C486="Haute",D486="En panne"),"🔴 CRITIQUE",IF(OR(E486&gt;0,F486&gt;0,G486&gt;0),"🟠 ATTENTION","🟢 OK")))</f>
        <v/>
      </c>
      <c r="J486" s="84">
        <f>IF(A486="","",IFERROR(VLOOKUP(A486,EQUIPEMENTS!A:Q,17,0),""))</f>
        <v/>
      </c>
      <c r="K486" s="84" t="n"/>
    </row>
    <row r="487" ht="15" customHeight="1" s="59">
      <c r="A487" s="87">
        <f>IFERROR(EQUIPEMENTS!A487,"")</f>
        <v/>
      </c>
      <c r="B487" s="87">
        <f>IF(A487="","",IFERROR(VLOOKUP(A487,EQUIPEMENTS!A:B,2,0),""))</f>
        <v/>
      </c>
      <c r="C487" s="87">
        <f>IF(A487="","",IFERROR(VLOOKUP(A487,EQUIPEMENTS!A:D,4,0),""))</f>
        <v/>
      </c>
      <c r="D487" s="87">
        <f>IF(A487="","",IFERROR(VLOOKUP(A487,EQUIPEMENTS!A:M,13,0),""))</f>
        <v/>
      </c>
      <c r="E487" s="87">
        <f>IF(A487="","",COUNTIFS(MAINT_PREV!B:B,A487,MAINT_PREV!G:G,"Planifiée",MAINT_PREV!E:E,"&lt;"&amp;TODAY(),MAINT_PREV!H:H,""))</f>
        <v/>
      </c>
      <c r="F487" s="87">
        <f>IF(A487="","",COUNTIFS(INTERVENTIONS!B:B,A487,INTERVENTIONS!L:L,"Ouverte"))</f>
        <v/>
      </c>
      <c r="G487" s="87">
        <f>IF(A487="","",COUNTIFS(COMPOSANTS!B:B,A487,COMPOSANTS!G:G,"Défectueux"))</f>
        <v/>
      </c>
      <c r="H487" s="87">
        <f>IF(A487="","",IFERROR(VLOOKUP(A487,EQUIPEMENTS!A:R,18,0),""))</f>
        <v/>
      </c>
      <c r="I487" s="87">
        <f>IF(A487="","",IF(AND(C487="Haute",D487="En panne"),"🔴 CRITIQUE",IF(OR(E487&gt;0,F487&gt;0,G487&gt;0),"🟠 ATTENTION","🟢 OK")))</f>
        <v/>
      </c>
      <c r="J487" s="87">
        <f>IF(A487="","",IFERROR(VLOOKUP(A487,EQUIPEMENTS!A:Q,17,0),""))</f>
        <v/>
      </c>
      <c r="K487" s="87" t="n"/>
    </row>
    <row r="488" ht="15" customHeight="1" s="59">
      <c r="A488" s="84">
        <f>IFERROR(EQUIPEMENTS!A488,"")</f>
        <v/>
      </c>
      <c r="B488" s="84">
        <f>IF(A488="","",IFERROR(VLOOKUP(A488,EQUIPEMENTS!A:B,2,0),""))</f>
        <v/>
      </c>
      <c r="C488" s="84">
        <f>IF(A488="","",IFERROR(VLOOKUP(A488,EQUIPEMENTS!A:D,4,0),""))</f>
        <v/>
      </c>
      <c r="D488" s="84">
        <f>IF(A488="","",IFERROR(VLOOKUP(A488,EQUIPEMENTS!A:M,13,0),""))</f>
        <v/>
      </c>
      <c r="E488" s="84">
        <f>IF(A488="","",COUNTIFS(MAINT_PREV!B:B,A488,MAINT_PREV!G:G,"Planifiée",MAINT_PREV!E:E,"&lt;"&amp;TODAY(),MAINT_PREV!H:H,""))</f>
        <v/>
      </c>
      <c r="F488" s="84">
        <f>IF(A488="","",COUNTIFS(INTERVENTIONS!B:B,A488,INTERVENTIONS!L:L,"Ouverte"))</f>
        <v/>
      </c>
      <c r="G488" s="84">
        <f>IF(A488="","",COUNTIFS(COMPOSANTS!B:B,A488,COMPOSANTS!G:G,"Défectueux"))</f>
        <v/>
      </c>
      <c r="H488" s="84">
        <f>IF(A488="","",IFERROR(VLOOKUP(A488,EQUIPEMENTS!A:R,18,0),""))</f>
        <v/>
      </c>
      <c r="I488" s="84">
        <f>IF(A488="","",IF(AND(C488="Haute",D488="En panne"),"🔴 CRITIQUE",IF(OR(E488&gt;0,F488&gt;0,G488&gt;0),"🟠 ATTENTION","🟢 OK")))</f>
        <v/>
      </c>
      <c r="J488" s="84">
        <f>IF(A488="","",IFERROR(VLOOKUP(A488,EQUIPEMENTS!A:Q,17,0),""))</f>
        <v/>
      </c>
      <c r="K488" s="84" t="n"/>
    </row>
    <row r="489" ht="15" customHeight="1" s="59">
      <c r="A489" s="87">
        <f>IFERROR(EQUIPEMENTS!A489,"")</f>
        <v/>
      </c>
      <c r="B489" s="87">
        <f>IF(A489="","",IFERROR(VLOOKUP(A489,EQUIPEMENTS!A:B,2,0),""))</f>
        <v/>
      </c>
      <c r="C489" s="87">
        <f>IF(A489="","",IFERROR(VLOOKUP(A489,EQUIPEMENTS!A:D,4,0),""))</f>
        <v/>
      </c>
      <c r="D489" s="87">
        <f>IF(A489="","",IFERROR(VLOOKUP(A489,EQUIPEMENTS!A:M,13,0),""))</f>
        <v/>
      </c>
      <c r="E489" s="87">
        <f>IF(A489="","",COUNTIFS(MAINT_PREV!B:B,A489,MAINT_PREV!G:G,"Planifiée",MAINT_PREV!E:E,"&lt;"&amp;TODAY(),MAINT_PREV!H:H,""))</f>
        <v/>
      </c>
      <c r="F489" s="87">
        <f>IF(A489="","",COUNTIFS(INTERVENTIONS!B:B,A489,INTERVENTIONS!L:L,"Ouverte"))</f>
        <v/>
      </c>
      <c r="G489" s="87">
        <f>IF(A489="","",COUNTIFS(COMPOSANTS!B:B,A489,COMPOSANTS!G:G,"Défectueux"))</f>
        <v/>
      </c>
      <c r="H489" s="87">
        <f>IF(A489="","",IFERROR(VLOOKUP(A489,EQUIPEMENTS!A:R,18,0),""))</f>
        <v/>
      </c>
      <c r="I489" s="87">
        <f>IF(A489="","",IF(AND(C489="Haute",D489="En panne"),"🔴 CRITIQUE",IF(OR(E489&gt;0,F489&gt;0,G489&gt;0),"🟠 ATTENTION","🟢 OK")))</f>
        <v/>
      </c>
      <c r="J489" s="87">
        <f>IF(A489="","",IFERROR(VLOOKUP(A489,EQUIPEMENTS!A:Q,17,0),""))</f>
        <v/>
      </c>
      <c r="K489" s="87" t="n"/>
    </row>
    <row r="490" ht="15" customHeight="1" s="59">
      <c r="A490" s="84">
        <f>IFERROR(EQUIPEMENTS!A490,"")</f>
        <v/>
      </c>
      <c r="B490" s="84">
        <f>IF(A490="","",IFERROR(VLOOKUP(A490,EQUIPEMENTS!A:B,2,0),""))</f>
        <v/>
      </c>
      <c r="C490" s="84">
        <f>IF(A490="","",IFERROR(VLOOKUP(A490,EQUIPEMENTS!A:D,4,0),""))</f>
        <v/>
      </c>
      <c r="D490" s="84">
        <f>IF(A490="","",IFERROR(VLOOKUP(A490,EQUIPEMENTS!A:M,13,0),""))</f>
        <v/>
      </c>
      <c r="E490" s="84">
        <f>IF(A490="","",COUNTIFS(MAINT_PREV!B:B,A490,MAINT_PREV!G:G,"Planifiée",MAINT_PREV!E:E,"&lt;"&amp;TODAY(),MAINT_PREV!H:H,""))</f>
        <v/>
      </c>
      <c r="F490" s="84">
        <f>IF(A490="","",COUNTIFS(INTERVENTIONS!B:B,A490,INTERVENTIONS!L:L,"Ouverte"))</f>
        <v/>
      </c>
      <c r="G490" s="84">
        <f>IF(A490="","",COUNTIFS(COMPOSANTS!B:B,A490,COMPOSANTS!G:G,"Défectueux"))</f>
        <v/>
      </c>
      <c r="H490" s="84">
        <f>IF(A490="","",IFERROR(VLOOKUP(A490,EQUIPEMENTS!A:R,18,0),""))</f>
        <v/>
      </c>
      <c r="I490" s="84">
        <f>IF(A490="","",IF(AND(C490="Haute",D490="En panne"),"🔴 CRITIQUE",IF(OR(E490&gt;0,F490&gt;0,G490&gt;0),"🟠 ATTENTION","🟢 OK")))</f>
        <v/>
      </c>
      <c r="J490" s="84">
        <f>IF(A490="","",IFERROR(VLOOKUP(A490,EQUIPEMENTS!A:Q,17,0),""))</f>
        <v/>
      </c>
      <c r="K490" s="84" t="n"/>
    </row>
    <row r="491" ht="15" customHeight="1" s="59">
      <c r="A491" s="87">
        <f>IFERROR(EQUIPEMENTS!A491,"")</f>
        <v/>
      </c>
      <c r="B491" s="87">
        <f>IF(A491="","",IFERROR(VLOOKUP(A491,EQUIPEMENTS!A:B,2,0),""))</f>
        <v/>
      </c>
      <c r="C491" s="87">
        <f>IF(A491="","",IFERROR(VLOOKUP(A491,EQUIPEMENTS!A:D,4,0),""))</f>
        <v/>
      </c>
      <c r="D491" s="87">
        <f>IF(A491="","",IFERROR(VLOOKUP(A491,EQUIPEMENTS!A:M,13,0),""))</f>
        <v/>
      </c>
      <c r="E491" s="87">
        <f>IF(A491="","",COUNTIFS(MAINT_PREV!B:B,A491,MAINT_PREV!G:G,"Planifiée",MAINT_PREV!E:E,"&lt;"&amp;TODAY(),MAINT_PREV!H:H,""))</f>
        <v/>
      </c>
      <c r="F491" s="87">
        <f>IF(A491="","",COUNTIFS(INTERVENTIONS!B:B,A491,INTERVENTIONS!L:L,"Ouverte"))</f>
        <v/>
      </c>
      <c r="G491" s="87">
        <f>IF(A491="","",COUNTIFS(COMPOSANTS!B:B,A491,COMPOSANTS!G:G,"Défectueux"))</f>
        <v/>
      </c>
      <c r="H491" s="87">
        <f>IF(A491="","",IFERROR(VLOOKUP(A491,EQUIPEMENTS!A:R,18,0),""))</f>
        <v/>
      </c>
      <c r="I491" s="87">
        <f>IF(A491="","",IF(AND(C491="Haute",D491="En panne"),"🔴 CRITIQUE",IF(OR(E491&gt;0,F491&gt;0,G491&gt;0),"🟠 ATTENTION","🟢 OK")))</f>
        <v/>
      </c>
      <c r="J491" s="87">
        <f>IF(A491="","",IFERROR(VLOOKUP(A491,EQUIPEMENTS!A:Q,17,0),""))</f>
        <v/>
      </c>
      <c r="K491" s="87" t="n"/>
    </row>
    <row r="492" ht="15" customHeight="1" s="59">
      <c r="A492" s="84">
        <f>IFERROR(EQUIPEMENTS!A492,"")</f>
        <v/>
      </c>
      <c r="B492" s="84">
        <f>IF(A492="","",IFERROR(VLOOKUP(A492,EQUIPEMENTS!A:B,2,0),""))</f>
        <v/>
      </c>
      <c r="C492" s="84">
        <f>IF(A492="","",IFERROR(VLOOKUP(A492,EQUIPEMENTS!A:D,4,0),""))</f>
        <v/>
      </c>
      <c r="D492" s="84">
        <f>IF(A492="","",IFERROR(VLOOKUP(A492,EQUIPEMENTS!A:M,13,0),""))</f>
        <v/>
      </c>
      <c r="E492" s="84">
        <f>IF(A492="","",COUNTIFS(MAINT_PREV!B:B,A492,MAINT_PREV!G:G,"Planifiée",MAINT_PREV!E:E,"&lt;"&amp;TODAY(),MAINT_PREV!H:H,""))</f>
        <v/>
      </c>
      <c r="F492" s="84">
        <f>IF(A492="","",COUNTIFS(INTERVENTIONS!B:B,A492,INTERVENTIONS!L:L,"Ouverte"))</f>
        <v/>
      </c>
      <c r="G492" s="84">
        <f>IF(A492="","",COUNTIFS(COMPOSANTS!B:B,A492,COMPOSANTS!G:G,"Défectueux"))</f>
        <v/>
      </c>
      <c r="H492" s="84">
        <f>IF(A492="","",IFERROR(VLOOKUP(A492,EQUIPEMENTS!A:R,18,0),""))</f>
        <v/>
      </c>
      <c r="I492" s="84">
        <f>IF(A492="","",IF(AND(C492="Haute",D492="En panne"),"🔴 CRITIQUE",IF(OR(E492&gt;0,F492&gt;0,G492&gt;0),"🟠 ATTENTION","🟢 OK")))</f>
        <v/>
      </c>
      <c r="J492" s="84">
        <f>IF(A492="","",IFERROR(VLOOKUP(A492,EQUIPEMENTS!A:Q,17,0),""))</f>
        <v/>
      </c>
      <c r="K492" s="84" t="n"/>
    </row>
    <row r="493" ht="15" customHeight="1" s="59">
      <c r="A493" s="87">
        <f>IFERROR(EQUIPEMENTS!A493,"")</f>
        <v/>
      </c>
      <c r="B493" s="87">
        <f>IF(A493="","",IFERROR(VLOOKUP(A493,EQUIPEMENTS!A:B,2,0),""))</f>
        <v/>
      </c>
      <c r="C493" s="87">
        <f>IF(A493="","",IFERROR(VLOOKUP(A493,EQUIPEMENTS!A:D,4,0),""))</f>
        <v/>
      </c>
      <c r="D493" s="87">
        <f>IF(A493="","",IFERROR(VLOOKUP(A493,EQUIPEMENTS!A:M,13,0),""))</f>
        <v/>
      </c>
      <c r="E493" s="87">
        <f>IF(A493="","",COUNTIFS(MAINT_PREV!B:B,A493,MAINT_PREV!G:G,"Planifiée",MAINT_PREV!E:E,"&lt;"&amp;TODAY(),MAINT_PREV!H:H,""))</f>
        <v/>
      </c>
      <c r="F493" s="87">
        <f>IF(A493="","",COUNTIFS(INTERVENTIONS!B:B,A493,INTERVENTIONS!L:L,"Ouverte"))</f>
        <v/>
      </c>
      <c r="G493" s="87">
        <f>IF(A493="","",COUNTIFS(COMPOSANTS!B:B,A493,COMPOSANTS!G:G,"Défectueux"))</f>
        <v/>
      </c>
      <c r="H493" s="87">
        <f>IF(A493="","",IFERROR(VLOOKUP(A493,EQUIPEMENTS!A:R,18,0),""))</f>
        <v/>
      </c>
      <c r="I493" s="87">
        <f>IF(A493="","",IF(AND(C493="Haute",D493="En panne"),"🔴 CRITIQUE",IF(OR(E493&gt;0,F493&gt;0,G493&gt;0),"🟠 ATTENTION","🟢 OK")))</f>
        <v/>
      </c>
      <c r="J493" s="87">
        <f>IF(A493="","",IFERROR(VLOOKUP(A493,EQUIPEMENTS!A:Q,17,0),""))</f>
        <v/>
      </c>
      <c r="K493" s="87" t="n"/>
    </row>
    <row r="494" ht="15" customHeight="1" s="59">
      <c r="A494" s="84">
        <f>IFERROR(EQUIPEMENTS!A494,"")</f>
        <v/>
      </c>
      <c r="B494" s="84">
        <f>IF(A494="","",IFERROR(VLOOKUP(A494,EQUIPEMENTS!A:B,2,0),""))</f>
        <v/>
      </c>
      <c r="C494" s="84">
        <f>IF(A494="","",IFERROR(VLOOKUP(A494,EQUIPEMENTS!A:D,4,0),""))</f>
        <v/>
      </c>
      <c r="D494" s="84">
        <f>IF(A494="","",IFERROR(VLOOKUP(A494,EQUIPEMENTS!A:M,13,0),""))</f>
        <v/>
      </c>
      <c r="E494" s="84">
        <f>IF(A494="","",COUNTIFS(MAINT_PREV!B:B,A494,MAINT_PREV!G:G,"Planifiée",MAINT_PREV!E:E,"&lt;"&amp;TODAY(),MAINT_PREV!H:H,""))</f>
        <v/>
      </c>
      <c r="F494" s="84">
        <f>IF(A494="","",COUNTIFS(INTERVENTIONS!B:B,A494,INTERVENTIONS!L:L,"Ouverte"))</f>
        <v/>
      </c>
      <c r="G494" s="84">
        <f>IF(A494="","",COUNTIFS(COMPOSANTS!B:B,A494,COMPOSANTS!G:G,"Défectueux"))</f>
        <v/>
      </c>
      <c r="H494" s="84">
        <f>IF(A494="","",IFERROR(VLOOKUP(A494,EQUIPEMENTS!A:R,18,0),""))</f>
        <v/>
      </c>
      <c r="I494" s="84">
        <f>IF(A494="","",IF(AND(C494="Haute",D494="En panne"),"🔴 CRITIQUE",IF(OR(E494&gt;0,F494&gt;0,G494&gt;0),"🟠 ATTENTION","🟢 OK")))</f>
        <v/>
      </c>
      <c r="J494" s="84">
        <f>IF(A494="","",IFERROR(VLOOKUP(A494,EQUIPEMENTS!A:Q,17,0),""))</f>
        <v/>
      </c>
      <c r="K494" s="84" t="n"/>
    </row>
    <row r="495" ht="15" customHeight="1" s="59">
      <c r="A495" s="87">
        <f>IFERROR(EQUIPEMENTS!A495,"")</f>
        <v/>
      </c>
      <c r="B495" s="87">
        <f>IF(A495="","",IFERROR(VLOOKUP(A495,EQUIPEMENTS!A:B,2,0),""))</f>
        <v/>
      </c>
      <c r="C495" s="87">
        <f>IF(A495="","",IFERROR(VLOOKUP(A495,EQUIPEMENTS!A:D,4,0),""))</f>
        <v/>
      </c>
      <c r="D495" s="87">
        <f>IF(A495="","",IFERROR(VLOOKUP(A495,EQUIPEMENTS!A:M,13,0),""))</f>
        <v/>
      </c>
      <c r="E495" s="87">
        <f>IF(A495="","",COUNTIFS(MAINT_PREV!B:B,A495,MAINT_PREV!G:G,"Planifiée",MAINT_PREV!E:E,"&lt;"&amp;TODAY(),MAINT_PREV!H:H,""))</f>
        <v/>
      </c>
      <c r="F495" s="87">
        <f>IF(A495="","",COUNTIFS(INTERVENTIONS!B:B,A495,INTERVENTIONS!L:L,"Ouverte"))</f>
        <v/>
      </c>
      <c r="G495" s="87">
        <f>IF(A495="","",COUNTIFS(COMPOSANTS!B:B,A495,COMPOSANTS!G:G,"Défectueux"))</f>
        <v/>
      </c>
      <c r="H495" s="87">
        <f>IF(A495="","",IFERROR(VLOOKUP(A495,EQUIPEMENTS!A:R,18,0),""))</f>
        <v/>
      </c>
      <c r="I495" s="87">
        <f>IF(A495="","",IF(AND(C495="Haute",D495="En panne"),"🔴 CRITIQUE",IF(OR(E495&gt;0,F495&gt;0,G495&gt;0),"🟠 ATTENTION","🟢 OK")))</f>
        <v/>
      </c>
      <c r="J495" s="87">
        <f>IF(A495="","",IFERROR(VLOOKUP(A495,EQUIPEMENTS!A:Q,17,0),""))</f>
        <v/>
      </c>
      <c r="K495" s="87" t="n"/>
    </row>
    <row r="496" ht="15" customHeight="1" s="59">
      <c r="A496" s="84">
        <f>IFERROR(EQUIPEMENTS!A496,"")</f>
        <v/>
      </c>
      <c r="B496" s="84">
        <f>IF(A496="","",IFERROR(VLOOKUP(A496,EQUIPEMENTS!A:B,2,0),""))</f>
        <v/>
      </c>
      <c r="C496" s="84">
        <f>IF(A496="","",IFERROR(VLOOKUP(A496,EQUIPEMENTS!A:D,4,0),""))</f>
        <v/>
      </c>
      <c r="D496" s="84">
        <f>IF(A496="","",IFERROR(VLOOKUP(A496,EQUIPEMENTS!A:M,13,0),""))</f>
        <v/>
      </c>
      <c r="E496" s="84">
        <f>IF(A496="","",COUNTIFS(MAINT_PREV!B:B,A496,MAINT_PREV!G:G,"Planifiée",MAINT_PREV!E:E,"&lt;"&amp;TODAY(),MAINT_PREV!H:H,""))</f>
        <v/>
      </c>
      <c r="F496" s="84">
        <f>IF(A496="","",COUNTIFS(INTERVENTIONS!B:B,A496,INTERVENTIONS!L:L,"Ouverte"))</f>
        <v/>
      </c>
      <c r="G496" s="84">
        <f>IF(A496="","",COUNTIFS(COMPOSANTS!B:B,A496,COMPOSANTS!G:G,"Défectueux"))</f>
        <v/>
      </c>
      <c r="H496" s="84">
        <f>IF(A496="","",IFERROR(VLOOKUP(A496,EQUIPEMENTS!A:R,18,0),""))</f>
        <v/>
      </c>
      <c r="I496" s="84">
        <f>IF(A496="","",IF(AND(C496="Haute",D496="En panne"),"🔴 CRITIQUE",IF(OR(E496&gt;0,F496&gt;0,G496&gt;0),"🟠 ATTENTION","🟢 OK")))</f>
        <v/>
      </c>
      <c r="J496" s="84">
        <f>IF(A496="","",IFERROR(VLOOKUP(A496,EQUIPEMENTS!A:Q,17,0),""))</f>
        <v/>
      </c>
      <c r="K496" s="84" t="n"/>
    </row>
    <row r="497" ht="15" customHeight="1" s="59">
      <c r="A497" s="87">
        <f>IFERROR(EQUIPEMENTS!A497,"")</f>
        <v/>
      </c>
      <c r="B497" s="87">
        <f>IF(A497="","",IFERROR(VLOOKUP(A497,EQUIPEMENTS!A:B,2,0),""))</f>
        <v/>
      </c>
      <c r="C497" s="87">
        <f>IF(A497="","",IFERROR(VLOOKUP(A497,EQUIPEMENTS!A:D,4,0),""))</f>
        <v/>
      </c>
      <c r="D497" s="87">
        <f>IF(A497="","",IFERROR(VLOOKUP(A497,EQUIPEMENTS!A:M,13,0),""))</f>
        <v/>
      </c>
      <c r="E497" s="87">
        <f>IF(A497="","",COUNTIFS(MAINT_PREV!B:B,A497,MAINT_PREV!G:G,"Planifiée",MAINT_PREV!E:E,"&lt;"&amp;TODAY(),MAINT_PREV!H:H,""))</f>
        <v/>
      </c>
      <c r="F497" s="87">
        <f>IF(A497="","",COUNTIFS(INTERVENTIONS!B:B,A497,INTERVENTIONS!L:L,"Ouverte"))</f>
        <v/>
      </c>
      <c r="G497" s="87">
        <f>IF(A497="","",COUNTIFS(COMPOSANTS!B:B,A497,COMPOSANTS!G:G,"Défectueux"))</f>
        <v/>
      </c>
      <c r="H497" s="87">
        <f>IF(A497="","",IFERROR(VLOOKUP(A497,EQUIPEMENTS!A:R,18,0),""))</f>
        <v/>
      </c>
      <c r="I497" s="87">
        <f>IF(A497="","",IF(AND(C497="Haute",D497="En panne"),"🔴 CRITIQUE",IF(OR(E497&gt;0,F497&gt;0,G497&gt;0),"🟠 ATTENTION","🟢 OK")))</f>
        <v/>
      </c>
      <c r="J497" s="87">
        <f>IF(A497="","",IFERROR(VLOOKUP(A497,EQUIPEMENTS!A:Q,17,0),""))</f>
        <v/>
      </c>
      <c r="K497" s="87" t="n"/>
    </row>
    <row r="498" ht="15" customHeight="1" s="59">
      <c r="A498" s="84">
        <f>IFERROR(EQUIPEMENTS!A498,"")</f>
        <v/>
      </c>
      <c r="B498" s="84">
        <f>IF(A498="","",IFERROR(VLOOKUP(A498,EQUIPEMENTS!A:B,2,0),""))</f>
        <v/>
      </c>
      <c r="C498" s="84">
        <f>IF(A498="","",IFERROR(VLOOKUP(A498,EQUIPEMENTS!A:D,4,0),""))</f>
        <v/>
      </c>
      <c r="D498" s="84">
        <f>IF(A498="","",IFERROR(VLOOKUP(A498,EQUIPEMENTS!A:M,13,0),""))</f>
        <v/>
      </c>
      <c r="E498" s="84">
        <f>IF(A498="","",COUNTIFS(MAINT_PREV!B:B,A498,MAINT_PREV!G:G,"Planifiée",MAINT_PREV!E:E,"&lt;"&amp;TODAY(),MAINT_PREV!H:H,""))</f>
        <v/>
      </c>
      <c r="F498" s="84">
        <f>IF(A498="","",COUNTIFS(INTERVENTIONS!B:B,A498,INTERVENTIONS!L:L,"Ouverte"))</f>
        <v/>
      </c>
      <c r="G498" s="84">
        <f>IF(A498="","",COUNTIFS(COMPOSANTS!B:B,A498,COMPOSANTS!G:G,"Défectueux"))</f>
        <v/>
      </c>
      <c r="H498" s="84">
        <f>IF(A498="","",IFERROR(VLOOKUP(A498,EQUIPEMENTS!A:R,18,0),""))</f>
        <v/>
      </c>
      <c r="I498" s="84">
        <f>IF(A498="","",IF(AND(C498="Haute",D498="En panne"),"🔴 CRITIQUE",IF(OR(E498&gt;0,F498&gt;0,G498&gt;0),"🟠 ATTENTION","🟢 OK")))</f>
        <v/>
      </c>
      <c r="J498" s="84">
        <f>IF(A498="","",IFERROR(VLOOKUP(A498,EQUIPEMENTS!A:Q,17,0),""))</f>
        <v/>
      </c>
      <c r="K498" s="84" t="n"/>
    </row>
    <row r="499" ht="15" customHeight="1" s="59">
      <c r="A499" s="87">
        <f>IFERROR(EQUIPEMENTS!A499,"")</f>
        <v/>
      </c>
      <c r="B499" s="87">
        <f>IF(A499="","",IFERROR(VLOOKUP(A499,EQUIPEMENTS!A:B,2,0),""))</f>
        <v/>
      </c>
      <c r="C499" s="87">
        <f>IF(A499="","",IFERROR(VLOOKUP(A499,EQUIPEMENTS!A:D,4,0),""))</f>
        <v/>
      </c>
      <c r="D499" s="87">
        <f>IF(A499="","",IFERROR(VLOOKUP(A499,EQUIPEMENTS!A:M,13,0),""))</f>
        <v/>
      </c>
      <c r="E499" s="87">
        <f>IF(A499="","",COUNTIFS(MAINT_PREV!B:B,A499,MAINT_PREV!G:G,"Planifiée",MAINT_PREV!E:E,"&lt;"&amp;TODAY(),MAINT_PREV!H:H,""))</f>
        <v/>
      </c>
      <c r="F499" s="87">
        <f>IF(A499="","",COUNTIFS(INTERVENTIONS!B:B,A499,INTERVENTIONS!L:L,"Ouverte"))</f>
        <v/>
      </c>
      <c r="G499" s="87">
        <f>IF(A499="","",COUNTIFS(COMPOSANTS!B:B,A499,COMPOSANTS!G:G,"Défectueux"))</f>
        <v/>
      </c>
      <c r="H499" s="87">
        <f>IF(A499="","",IFERROR(VLOOKUP(A499,EQUIPEMENTS!A:R,18,0),""))</f>
        <v/>
      </c>
      <c r="I499" s="87">
        <f>IF(A499="","",IF(AND(C499="Haute",D499="En panne"),"🔴 CRITIQUE",IF(OR(E499&gt;0,F499&gt;0,G499&gt;0),"🟠 ATTENTION","🟢 OK")))</f>
        <v/>
      </c>
      <c r="J499" s="87">
        <f>IF(A499="","",IFERROR(VLOOKUP(A499,EQUIPEMENTS!A:Q,17,0),""))</f>
        <v/>
      </c>
      <c r="K499" s="87" t="n"/>
    </row>
    <row r="500" ht="15" customHeight="1" s="59">
      <c r="A500" s="84">
        <f>IFERROR(EQUIPEMENTS!A500,"")</f>
        <v/>
      </c>
      <c r="B500" s="84">
        <f>IF(A500="","",IFERROR(VLOOKUP(A500,EQUIPEMENTS!A:B,2,0),""))</f>
        <v/>
      </c>
      <c r="C500" s="84">
        <f>IF(A500="","",IFERROR(VLOOKUP(A500,EQUIPEMENTS!A:D,4,0),""))</f>
        <v/>
      </c>
      <c r="D500" s="84">
        <f>IF(A500="","",IFERROR(VLOOKUP(A500,EQUIPEMENTS!A:M,13,0),""))</f>
        <v/>
      </c>
      <c r="E500" s="84">
        <f>IF(A500="","",COUNTIFS(MAINT_PREV!B:B,A500,MAINT_PREV!G:G,"Planifiée",MAINT_PREV!E:E,"&lt;"&amp;TODAY(),MAINT_PREV!H:H,""))</f>
        <v/>
      </c>
      <c r="F500" s="84">
        <f>IF(A500="","",COUNTIFS(INTERVENTIONS!B:B,A500,INTERVENTIONS!L:L,"Ouverte"))</f>
        <v/>
      </c>
      <c r="G500" s="84">
        <f>IF(A500="","",COUNTIFS(COMPOSANTS!B:B,A500,COMPOSANTS!G:G,"Défectueux"))</f>
        <v/>
      </c>
      <c r="H500" s="84">
        <f>IF(A500="","",IFERROR(VLOOKUP(A500,EQUIPEMENTS!A:R,18,0),""))</f>
        <v/>
      </c>
      <c r="I500" s="84">
        <f>IF(A500="","",IF(AND(C500="Haute",D500="En panne"),"🔴 CRITIQUE",IF(OR(E500&gt;0,F500&gt;0,G500&gt;0),"🟠 ATTENTION","🟢 OK")))</f>
        <v/>
      </c>
      <c r="J500" s="84">
        <f>IF(A500="","",IFERROR(VLOOKUP(A500,EQUIPEMENTS!A:Q,17,0),""))</f>
        <v/>
      </c>
      <c r="K500" s="84" t="n"/>
    </row>
  </sheetData>
  <autoFilter ref="A1:K1"/>
  <conditionalFormatting sqref="A2:K500">
    <cfRule type="expression" rank="0" priority="2" equalAverage="0" aboveAverage="0" dxfId="2" text="" percent="0" bottom="0">
      <formula>$I2="🔴 CRITIQUE"</formula>
    </cfRule>
    <cfRule type="expression" rank="0" priority="3" equalAverage="0" aboveAverage="0" dxfId="3" text="" percent="0" bottom="0">
      <formula>$I2="🟠 ATTENTION"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515151"/>
    <outlinePr summaryBelow="1" summaryRight="1"/>
    <pageSetUpPr fitToPage="0"/>
  </sheetPr>
  <dimension ref="B1:D6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8" min="1" max="1"/>
    <col width="28" customWidth="1" style="58" min="2" max="2"/>
    <col width="55" customWidth="1" style="58" min="3" max="3"/>
    <col width="25" customWidth="1" style="58" min="4" max="4"/>
  </cols>
  <sheetData>
    <row r="1" ht="36" customHeight="1" s="59">
      <c r="B1" s="104" t="inlineStr">
        <is>
          <t>📘  NOMENCLATURE – Formules, codes et aide à l'utilisation</t>
        </is>
      </c>
    </row>
    <row r="3" ht="24" customHeight="1" s="59">
      <c r="B3" s="105" t="inlineStr">
        <is>
          <t>CODIFICATION – Préfixes à respecter</t>
        </is>
      </c>
      <c r="C3" s="82" t="n"/>
      <c r="D3" s="82" t="n"/>
    </row>
    <row r="4" ht="27.75" customHeight="1" s="59">
      <c r="B4" s="107" t="inlineStr">
        <is>
          <t>Équipements</t>
        </is>
      </c>
      <c r="C4" s="114" t="inlineStr">
        <is>
          <t>EQ0001, EQ0002 … (format EQ + 4 chiffres)</t>
        </is>
      </c>
      <c r="D4" s="82" t="n"/>
    </row>
    <row r="5" ht="27.75" customHeight="1" s="59">
      <c r="B5" s="107" t="inlineStr">
        <is>
          <t>Composants</t>
        </is>
      </c>
      <c r="C5" s="114" t="inlineStr">
        <is>
          <t>COMP001, COMP002 … (format COMP + 3 chiffres)</t>
        </is>
      </c>
      <c r="D5" s="82" t="n"/>
    </row>
    <row r="6" ht="27.75" customHeight="1" s="59">
      <c r="B6" s="107" t="inlineStr">
        <is>
          <t>Packages</t>
        </is>
      </c>
      <c r="C6" s="114" t="inlineStr">
        <is>
          <t>PKG001, PKG002 … (format PKG + 3 chiffres)</t>
        </is>
      </c>
      <c r="D6" s="82" t="n"/>
    </row>
    <row r="7" ht="27.75" customHeight="1" s="59">
      <c r="B7" s="107" t="inlineStr">
        <is>
          <t>Maintenances préventives</t>
        </is>
      </c>
      <c r="C7" s="114" t="inlineStr">
        <is>
          <t>MP0001, MP0002 … (format MP + 4 chiffres)</t>
        </is>
      </c>
      <c r="D7" s="82" t="n"/>
    </row>
    <row r="8" ht="27.75" customHeight="1" s="59">
      <c r="B8" s="107" t="inlineStr">
        <is>
          <t>Interventions</t>
        </is>
      </c>
      <c r="C8" s="114" t="inlineStr">
        <is>
          <t>INT0001, INT0002 … (format INT + 4 chiffres)</t>
        </is>
      </c>
      <c r="D8" s="82" t="n"/>
    </row>
    <row r="9" ht="27.75" customHeight="1" s="59">
      <c r="B9" s="107" t="inlineStr">
        <is>
          <t>Fournisseurs</t>
        </is>
      </c>
      <c r="C9" s="114" t="inlineStr">
        <is>
          <t>FOUR001, FOUR002 … (format FOUR + 3 chiffres)</t>
        </is>
      </c>
      <c r="D9" s="82" t="n"/>
    </row>
    <row r="10" ht="27.75" customHeight="1" s="59">
      <c r="B10" s="107" t="inlineStr">
        <is>
          <t>Pièces</t>
        </is>
      </c>
      <c r="C10" s="114" t="inlineStr">
        <is>
          <t>PC001, PC002 … (format PC + 3 chiffres)</t>
        </is>
      </c>
      <c r="D10" s="82" t="n"/>
    </row>
    <row r="11" ht="27.75" customHeight="1" s="59">
      <c r="B11" s="107" t="inlineStr">
        <is>
          <t>Techniciens</t>
        </is>
      </c>
      <c r="C11" s="114" t="inlineStr">
        <is>
          <t>TECH01, TECH02 … (format TECH + 2 chiffres)</t>
        </is>
      </c>
      <c r="D11" s="82" t="n"/>
    </row>
    <row r="13" ht="24" customHeight="1" s="59">
      <c r="B13" s="105" t="inlineStr">
        <is>
          <t>FORMULES CLÉS – BILANS_GMAO</t>
        </is>
      </c>
      <c r="C13" s="82" t="n"/>
      <c r="D13" s="82" t="n"/>
    </row>
    <row r="14" ht="27.75" customHeight="1" s="59">
      <c r="B14" s="107" t="inlineStr">
        <is>
          <t>Total équipements</t>
        </is>
      </c>
      <c r="C14" s="114">
        <f>COUNTA(EQUIPEMENTS!A:A)-1</f>
        <v/>
      </c>
      <c r="D14" s="82" t="n"/>
    </row>
    <row r="15" ht="27.75" customHeight="1" s="59">
      <c r="B15" s="107" t="inlineStr">
        <is>
          <t>Équipements critiques en panne</t>
        </is>
      </c>
      <c r="C15" s="114">
        <f>COUNTIFS(EQUIPEMENTS!M:M,"En panne",EQUIPEMENTS!D:D,"Haute")</f>
        <v/>
      </c>
      <c r="D15" s="82" t="n"/>
    </row>
    <row r="16" ht="27.75" customHeight="1" s="59">
      <c r="B16" s="107" t="inlineStr">
        <is>
          <t>MP en retard</t>
        </is>
      </c>
      <c r="C16" s="114">
        <f>COUNTIFS(MAINT_PREV!G:G,"Planifiée",MAINT_PREV!E:E,"&lt;"&amp;TODAY(),MAINT_PREV!H:H,"")</f>
        <v/>
      </c>
      <c r="D16" s="82" t="n"/>
    </row>
    <row r="17" ht="27.75" customHeight="1" s="59">
      <c r="B17" s="107" t="inlineStr">
        <is>
          <t>Interv. correctives (mois)</t>
        </is>
      </c>
      <c r="C17" s="114">
        <f>COUNTIFS(INTERVENTIONS!D:D,"Corrective",INTERVENTIONS!G:G,"&gt;="&amp;DATE(YEAR(TODAY()),MONTH(TODAY()),1))</f>
        <v/>
      </c>
      <c r="D17" s="82" t="n"/>
    </row>
    <row r="18" ht="27.75" customHeight="1" s="59">
      <c r="B18" s="107" t="inlineStr">
        <is>
          <t>Interv. &gt;14j non clôturées</t>
        </is>
      </c>
      <c r="C18" s="114">
        <f>COUNTIFS(INTERVENTIONS!L:L,"Ouverte",INTERVENTIONS!F:F,"&lt;"&amp;TODAY()-14)</f>
        <v/>
      </c>
      <c r="D18" s="82" t="n"/>
    </row>
    <row r="19" ht="27.75" customHeight="1" s="59">
      <c r="B19" s="107" t="inlineStr">
        <is>
          <t>Composants défectueux d'un EQ</t>
        </is>
      </c>
      <c r="C19" s="114">
        <f>COUNTIFS(COMPOSANTS!B:B,A2,COMPOSANTS!G:G,"Défectueux")</f>
        <v/>
      </c>
      <c r="D19" s="82" t="n"/>
    </row>
    <row r="20" ht="27.75" customHeight="1" s="59">
      <c r="B20" s="107" t="inlineStr">
        <is>
          <t>Nb équipements dans un package</t>
        </is>
      </c>
      <c r="C20" s="114">
        <f>COUNTIF(EQUIPEMENTS!R:R,A2)</f>
        <v/>
      </c>
      <c r="D20" s="82" t="n"/>
    </row>
    <row r="22" ht="24" customHeight="1" s="59">
      <c r="B22" s="105" t="inlineStr">
        <is>
          <t>FORMULES CLÉS – Colonnes calculées (VLOOKUP / COUNTIF)</t>
        </is>
      </c>
      <c r="C22" s="82" t="n"/>
      <c r="D22" s="82" t="n"/>
    </row>
    <row r="23" ht="27.75" customHeight="1" s="59">
      <c r="B23" s="107" t="inlineStr">
        <is>
          <t>Désignation depuis code EQ</t>
        </is>
      </c>
      <c r="C23" s="114">
        <f>IF(B2="","",IFERROR(VLOOKUP(B2,EQUIPEMENTS!A:B,2,0),""))</f>
        <v/>
      </c>
      <c r="D23" s="82" t="n"/>
    </row>
    <row r="24" ht="27.75" customHeight="1" s="59">
      <c r="B24" s="107" t="inlineStr">
        <is>
          <t>Retard MP (jours)</t>
        </is>
      </c>
      <c r="C24" s="114">
        <f>IF(AND(G2="Planifiée",E2&lt;TODAY(),H2=""),TODAY()-E2,"")</f>
        <v/>
      </c>
      <c r="D24" s="82" t="n"/>
    </row>
    <row r="25" ht="27.75" customHeight="1" s="59">
      <c r="B25" s="107" t="inlineStr">
        <is>
          <t>Jours intervention ouverte</t>
        </is>
      </c>
      <c r="C25" s="114">
        <f>IF(AND(L2&lt;&gt;"Clôturée",F2&lt;&gt;""),TODAY()-F2,"")</f>
        <v/>
      </c>
      <c r="D25" s="82" t="n"/>
    </row>
    <row r="26" ht="27.75" customHeight="1" s="59">
      <c r="B26" s="107" t="inlineStr">
        <is>
          <t>Alerte stock pièce</t>
        </is>
      </c>
      <c r="C26" s="114">
        <f>IF(E2="","",IF(E2&lt;F2,"⚠ STOCK BAS","OK"))</f>
        <v/>
      </c>
      <c r="D26" s="82" t="n"/>
    </row>
    <row r="27" ht="27.75" customHeight="1" s="59">
      <c r="B27" s="107" t="inlineStr">
        <is>
          <t>Nb interventions technicien</t>
        </is>
      </c>
      <c r="C27" s="114">
        <f>IF(A2="","",COUNTIF(INTERVENTIONS!H:H,A2))</f>
        <v/>
      </c>
      <c r="D27" s="82" t="n"/>
    </row>
    <row r="29" ht="24" customHeight="1" s="59">
      <c r="B29" s="105" t="inlineStr">
        <is>
          <t>MISE EN FORME CONDITIONNELLE – Couleurs</t>
        </is>
      </c>
      <c r="C29" s="82" t="n"/>
      <c r="D29" s="82" t="n"/>
    </row>
    <row r="30" ht="21.75" customHeight="1" s="59">
      <c r="B30" s="107" t="inlineStr">
        <is>
          <t>Rouge fond clair</t>
        </is>
      </c>
      <c r="C30" s="115" t="inlineStr">
        <is>
          <t>Équipement critique (Haute) en panne – formule: AND($D2="Haute",$M2="En panne")</t>
        </is>
      </c>
      <c r="D30" s="82" t="n"/>
    </row>
    <row r="31" ht="21.75" customHeight="1" s="59">
      <c r="B31" s="107" t="inlineStr">
        <is>
          <t>Orange fond clair</t>
        </is>
      </c>
      <c r="C31" s="115" t="inlineStr">
        <is>
          <t>MP en retard / Stock sous minimum / Contrat expirant</t>
        </is>
      </c>
      <c r="D31" s="82" t="n"/>
    </row>
    <row r="32" ht="21.75" customHeight="1" s="59">
      <c r="B32" s="107" t="inlineStr">
        <is>
          <t>Jaune fond</t>
        </is>
      </c>
      <c r="C32" s="115" t="inlineStr">
        <is>
          <t>Intervention ouverte depuis &gt;7j – formule: AND($L2&lt;&gt;"Clôturée",TODAY()-$F2&gt;7)</t>
        </is>
      </c>
      <c r="D32" s="82" t="n"/>
    </row>
    <row r="33" ht="21.75" customHeight="1" s="59">
      <c r="B33" s="107" t="inlineStr">
        <is>
          <t>Rouge fond</t>
        </is>
      </c>
      <c r="C33" s="115" t="inlineStr">
        <is>
          <t>Intervention ouverte &gt;14j / Stock nul / Contrat expiré</t>
        </is>
      </c>
      <c r="D33" s="82" t="n"/>
    </row>
    <row r="34" ht="21.75" customHeight="1" s="59">
      <c r="B34" s="107" t="inlineStr">
        <is>
          <t>Violet clair</t>
        </is>
      </c>
      <c r="C34" s="115" t="inlineStr">
        <is>
          <t>Équipement appartenant à un package ($R2&lt;&gt;"")</t>
        </is>
      </c>
      <c r="D34" s="82" t="n"/>
    </row>
    <row r="35" ht="21.75" customHeight="1" s="59">
      <c r="B35" s="107" t="inlineStr">
        <is>
          <t>Vert clair</t>
        </is>
      </c>
      <c r="C35" s="115" t="inlineStr">
        <is>
          <t>Pas d'alerte (🟢 OK dans ALERTES)</t>
        </is>
      </c>
      <c r="D35" s="82" t="n"/>
    </row>
    <row r="37" ht="24" customHeight="1" s="59">
      <c r="B37" s="105" t="inlineStr">
        <is>
          <t>ONGLETS INITIATIVE (texte rouge dans les en-têtes)</t>
        </is>
      </c>
      <c r="C37" s="82" t="n"/>
      <c r="D37" s="82" t="n"/>
    </row>
    <row r="38" ht="21.75" customHeight="1" s="59">
      <c r="B38" s="116" t="inlineStr">
        <is>
          <t>COMPOSANTS</t>
        </is>
      </c>
      <c r="C38" s="117" t="inlineStr">
        <is>
          <t>Onglet entier – gestion des composants défectueux rattachés aux équipements</t>
        </is>
      </c>
      <c r="D38" s="82" t="n"/>
    </row>
    <row r="39" ht="21.75" customHeight="1" s="59">
      <c r="B39" s="116" t="inlineStr">
        <is>
          <t>PACKAGES</t>
        </is>
      </c>
      <c r="C39" s="117" t="inlineStr">
        <is>
          <t>Onglet entier – regroupement d'équipements en packages (ex: pack PC)</t>
        </is>
      </c>
      <c r="D39" s="82" t="n"/>
    </row>
    <row r="40" ht="21.75" customHeight="1" s="59">
      <c r="B40" s="116" t="inlineStr">
        <is>
          <t>EQUIPEMENTS!R</t>
        </is>
      </c>
      <c r="C40" s="117" t="inlineStr">
        <is>
          <t>Code_Package – lien vers l'onglet PACKAGES</t>
        </is>
      </c>
      <c r="D40" s="82" t="n"/>
    </row>
    <row r="41" ht="21.75" customHeight="1" s="59">
      <c r="B41" s="116" t="inlineStr">
        <is>
          <t>EQUIPEMENTS!S</t>
        </is>
      </c>
      <c r="C41" s="117" t="inlineStr">
        <is>
          <t>Nb_Composants – =COUNTIF(COMPOSANTS!B:B,A2)</t>
        </is>
      </c>
      <c r="D41" s="82" t="n"/>
    </row>
    <row r="42" ht="21.75" customHeight="1" s="59">
      <c r="B42" s="116" t="inlineStr">
        <is>
          <t>EQUIPEMENTS!T</t>
        </is>
      </c>
      <c r="C42" s="117" t="inlineStr">
        <is>
          <t>Composant_Defectueux – =COUNTIFS(COMPOSANTS!B:B,A2,COMPOSANTS!G:G,"Défectueux")</t>
        </is>
      </c>
      <c r="D42" s="82" t="n"/>
    </row>
    <row r="43" ht="21.75" customHeight="1" s="59">
      <c r="B43" s="116" t="inlineStr">
        <is>
          <t>INTERVENTIONS!N</t>
        </is>
      </c>
      <c r="C43" s="117" t="inlineStr">
        <is>
          <t>Code_Composant_Lie – lien entre intervention et composant</t>
        </is>
      </c>
      <c r="D43" s="82" t="n"/>
    </row>
    <row r="44" ht="21.75" customHeight="1" s="59">
      <c r="B44" s="116" t="inlineStr">
        <is>
          <t>INTERVENTIONS!O</t>
        </is>
      </c>
      <c r="C44" s="117" t="inlineStr">
        <is>
          <t>Jours_Ouvert – =IF(AND(L2&lt;&gt;"Clôturée",F2&lt;&gt;""),TODAY()-F2,"")</t>
        </is>
      </c>
      <c r="D44" s="82" t="n"/>
    </row>
    <row r="45" ht="21.75" customHeight="1" s="59">
      <c r="B45" s="116" t="inlineStr">
        <is>
          <t>MAINT_PREV!J</t>
        </is>
      </c>
      <c r="C45" s="117" t="inlineStr">
        <is>
          <t>Retard_Jours – calcul automatique du retard en jours</t>
        </is>
      </c>
      <c r="D45" s="82" t="n"/>
    </row>
    <row r="46" ht="21.75" customHeight="1" s="59">
      <c r="B46" s="116" t="inlineStr">
        <is>
          <t>ALERTES!G,H,I</t>
        </is>
      </c>
      <c r="C46" s="117" t="inlineStr">
        <is>
          <t>Composants défectueux / Code package / Niveau alerte calculé</t>
        </is>
      </c>
      <c r="D46" s="82" t="n"/>
    </row>
    <row r="47" ht="21.75" customHeight="1" s="59">
      <c r="B47" s="116" t="inlineStr">
        <is>
          <t>TECHNICIENS!K</t>
        </is>
      </c>
      <c r="C47" s="117" t="inlineStr">
        <is>
          <t>Charge_Interventions – COUNTIF des interventions par technicien</t>
        </is>
      </c>
      <c r="D47" s="82" t="n"/>
    </row>
    <row r="48" ht="21.75" customHeight="1" s="59">
      <c r="B48" s="116" t="inlineStr">
        <is>
          <t>PIECES!D,K</t>
        </is>
      </c>
      <c r="C48" s="117" t="inlineStr">
        <is>
          <t>Equipement_Compatible + Alerte_Stock calculée</t>
        </is>
      </c>
      <c r="D48" s="82" t="n"/>
    </row>
    <row r="49" ht="21.75" customHeight="1" s="59">
      <c r="B49" s="116" t="inlineStr">
        <is>
          <t>FOURNISSEURS!J</t>
        </is>
      </c>
      <c r="C49" s="117" t="inlineStr">
        <is>
          <t>Délai_Livraison_Jours – donnée qualitative du fournisseur</t>
        </is>
      </c>
      <c r="D49" s="82" t="n"/>
    </row>
    <row r="50" ht="21.75" customHeight="1" s="59">
      <c r="B50" s="116" t="inlineStr">
        <is>
          <t>BILANS!Packages+Composants</t>
        </is>
      </c>
      <c r="C50" s="117" t="inlineStr">
        <is>
          <t>Blocs entiers dans BILANS_GMAO sur packages et composants</t>
        </is>
      </c>
      <c r="D50" s="82" t="n"/>
    </row>
    <row r="52" ht="24" customHeight="1" s="59">
      <c r="B52" s="105" t="inlineStr">
        <is>
          <t>LISTES DÉROULANTES – Onglet LISTES (masqué)</t>
        </is>
      </c>
      <c r="C52" s="82" t="n"/>
      <c r="D52" s="82" t="n"/>
    </row>
    <row r="53" ht="19.5" customHeight="1" s="59">
      <c r="B53" s="107" t="inlineStr">
        <is>
          <t>Col A – Criticite</t>
        </is>
      </c>
      <c r="C53" s="115" t="inlineStr">
        <is>
          <t>Haute / Moyenne / Basse</t>
        </is>
      </c>
      <c r="D53" s="82" t="n"/>
    </row>
    <row r="54" ht="19.5" customHeight="1" s="59">
      <c r="B54" s="107" t="inlineStr">
        <is>
          <t>Col B – Etat_Equip</t>
        </is>
      </c>
      <c r="C54" s="115" t="inlineStr">
        <is>
          <t>En service / En panne / En maintenance / Hors service / Mis au rebut</t>
        </is>
      </c>
      <c r="D54" s="82" t="n"/>
    </row>
    <row r="55" ht="19.5" customHeight="1" s="59">
      <c r="B55" s="107" t="inlineStr">
        <is>
          <t>Col C – Type_Intervention</t>
        </is>
      </c>
      <c r="C55" s="115" t="inlineStr">
        <is>
          <t>Corrective / Préventive / Contrôle / Installation / Mise au rebut</t>
        </is>
      </c>
      <c r="D55" s="82" t="n"/>
    </row>
    <row r="56" ht="19.5" customHeight="1" s="59">
      <c r="B56" s="107" t="inlineStr">
        <is>
          <t>Col D – Statut_Intervention</t>
        </is>
      </c>
      <c r="C56" s="115" t="inlineStr">
        <is>
          <t>Ouverte / En cours / Clôturée / Non résolue</t>
        </is>
      </c>
      <c r="D56" s="82" t="n"/>
    </row>
    <row r="57" ht="19.5" customHeight="1" s="59">
      <c r="B57" s="107" t="inlineStr">
        <is>
          <t>Col E – Statut_MP</t>
        </is>
      </c>
      <c r="C57" s="115" t="inlineStr">
        <is>
          <t>Planifiée / En cours / Réalisée / Reportée / Annulée</t>
        </is>
      </c>
      <c r="D57" s="82" t="n"/>
    </row>
    <row r="58" ht="19.5" customHeight="1" s="59">
      <c r="B58" s="107" t="inlineStr">
        <is>
          <t>Col F – Type_MP</t>
        </is>
      </c>
      <c r="C58" s="115" t="inlineStr">
        <is>
          <t>Annuelle / Semestrielle / Trimestrielle / Contrôle sécu / Calibrage…</t>
        </is>
      </c>
      <c r="D58" s="82" t="n"/>
    </row>
    <row r="59" ht="19.5" customHeight="1" s="59">
      <c r="B59" s="107" t="inlineStr">
        <is>
          <t>Col G – Categorie_Equip</t>
        </is>
      </c>
      <c r="C59" s="115" t="inlineStr">
        <is>
          <t>Monitoring / Imagerie / Bloc / Labo / Informatique…</t>
        </is>
      </c>
      <c r="D59" s="82" t="n"/>
    </row>
    <row r="60" ht="19.5" customHeight="1" s="59">
      <c r="B60" s="107" t="inlineStr">
        <is>
          <t>Col H – Service</t>
        </is>
      </c>
      <c r="C60" s="115" t="inlineStr">
        <is>
          <t>Réanimation / Urgences / Bloc / Maternité / DSI…</t>
        </is>
      </c>
      <c r="D60" s="82" t="n"/>
    </row>
    <row r="61" ht="19.5" customHeight="1" s="59">
      <c r="B61" s="107" t="inlineStr">
        <is>
          <t>Col I – Periodicite (mois)</t>
        </is>
      </c>
      <c r="C61" s="115" t="inlineStr">
        <is>
          <t>1 / 3 / 6 / 12 / 24</t>
        </is>
      </c>
      <c r="D61" s="82" t="n"/>
    </row>
    <row r="62" ht="19.5" customHeight="1" s="59">
      <c r="B62" s="107" t="inlineStr">
        <is>
          <t>Col J – Type_Fournisseur</t>
        </is>
      </c>
      <c r="C62" s="115" t="inlineStr">
        <is>
          <t>Fourniture / Maintenance / Calibration / Informatique…</t>
        </is>
      </c>
      <c r="D62" s="82" t="n"/>
    </row>
    <row r="63" ht="19.5" customHeight="1" s="59">
      <c r="B63" s="107" t="inlineStr">
        <is>
          <t>Col K – Categorie_Piece</t>
        </is>
      </c>
      <c r="C63" s="115" t="inlineStr">
        <is>
          <t>Batterie / Filtre / Capteur / Écran / Clavier…</t>
        </is>
      </c>
      <c r="D63" s="82" t="n"/>
    </row>
    <row r="64" ht="19.5" customHeight="1" s="59">
      <c r="B64" s="107" t="inlineStr">
        <is>
          <t>Col L – Niveau_Qualification</t>
        </is>
      </c>
      <c r="C64" s="115" t="inlineStr">
        <is>
          <t>Niveau 1 à 4</t>
        </is>
      </c>
      <c r="D64" s="82" t="n"/>
    </row>
    <row r="65" ht="19.5" customHeight="1" s="59">
      <c r="B65" s="107" t="inlineStr">
        <is>
          <t>Col M – Statut_Composant</t>
        </is>
      </c>
      <c r="C65" s="115" t="inlineStr">
        <is>
          <t>Fonctionnel / Défectueux / Remplacé / Commandé / En attente</t>
        </is>
      </c>
      <c r="D65" s="82" t="n"/>
    </row>
    <row r="66" ht="19.5" customHeight="1" s="59">
      <c r="B66" s="107" t="inlineStr">
        <is>
          <t>Col N – Type_Composant</t>
        </is>
      </c>
      <c r="C66" s="115" t="inlineStr">
        <is>
          <t>Batterie / Écran-dalle / Clavier / Alimentation / CPU / Port USB…</t>
        </is>
      </c>
      <c r="D66" s="82" t="n"/>
    </row>
    <row r="67" ht="19.5" customHeight="1" s="59">
      <c r="B67" s="107" t="inlineStr">
        <is>
          <t>Col O – OuiNon</t>
        </is>
      </c>
      <c r="C67" s="115" t="inlineStr">
        <is>
          <t>Oui / Non</t>
        </is>
      </c>
      <c r="D67" s="82" t="n"/>
    </row>
    <row r="68" ht="19.5" customHeight="1" s="59">
      <c r="B68" s="107" t="inlineStr">
        <is>
          <t>Col P – Priorite</t>
        </is>
      </c>
      <c r="C68" s="115" t="inlineStr">
        <is>
          <t>Critique / Haute / Normale / Basse</t>
        </is>
      </c>
      <c r="D68" s="82" t="n"/>
    </row>
  </sheetData>
  <mergeCells count="62">
    <mergeCell ref="C34:D34"/>
    <mergeCell ref="C6:D6"/>
    <mergeCell ref="C30:D30"/>
    <mergeCell ref="C24:D24"/>
    <mergeCell ref="C62:D62"/>
    <mergeCell ref="C15:D15"/>
    <mergeCell ref="C33:D33"/>
    <mergeCell ref="B1:D1"/>
    <mergeCell ref="C68:D68"/>
    <mergeCell ref="C5:D5"/>
    <mergeCell ref="C42:D42"/>
    <mergeCell ref="C58:D58"/>
    <mergeCell ref="B13:D13"/>
    <mergeCell ref="C14:D14"/>
    <mergeCell ref="C45:D45"/>
    <mergeCell ref="B29:D29"/>
    <mergeCell ref="C64:D64"/>
    <mergeCell ref="C26:D26"/>
    <mergeCell ref="C35:D35"/>
    <mergeCell ref="C4:D4"/>
    <mergeCell ref="C20:D20"/>
    <mergeCell ref="B37:D37"/>
    <mergeCell ref="C10:D10"/>
    <mergeCell ref="C16:D16"/>
    <mergeCell ref="C47:D47"/>
    <mergeCell ref="C54:D54"/>
    <mergeCell ref="C25:D25"/>
    <mergeCell ref="C63:D63"/>
    <mergeCell ref="C41:D41"/>
    <mergeCell ref="C65:D65"/>
    <mergeCell ref="C55:D55"/>
    <mergeCell ref="C50:D50"/>
    <mergeCell ref="C44:D44"/>
    <mergeCell ref="C40:D40"/>
    <mergeCell ref="C9:D9"/>
    <mergeCell ref="C31:D31"/>
    <mergeCell ref="C56:D56"/>
    <mergeCell ref="C59:D59"/>
    <mergeCell ref="C43:D43"/>
    <mergeCell ref="C46:D46"/>
    <mergeCell ref="C60:D60"/>
    <mergeCell ref="C11:D11"/>
    <mergeCell ref="C27:D27"/>
    <mergeCell ref="C61:D61"/>
    <mergeCell ref="C48:D48"/>
    <mergeCell ref="C17:D17"/>
    <mergeCell ref="C23:D23"/>
    <mergeCell ref="C39:D39"/>
    <mergeCell ref="C8:D8"/>
    <mergeCell ref="B3:D3"/>
    <mergeCell ref="C32:D32"/>
    <mergeCell ref="C7:D7"/>
    <mergeCell ref="C38:D38"/>
    <mergeCell ref="C67:D67"/>
    <mergeCell ref="B22:D22"/>
    <mergeCell ref="C19:D19"/>
    <mergeCell ref="C57:D57"/>
    <mergeCell ref="C66:D66"/>
    <mergeCell ref="B52:D52"/>
    <mergeCell ref="C18:D18"/>
    <mergeCell ref="C53:D53"/>
    <mergeCell ref="C49:D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2026-05-08T12:41:47Z</dcterms:created>
  <dcterms:modified xmlns:dcterms="http://purl.org/dc/terms/" xmlns:xsi="http://www.w3.org/2001/XMLSchema-instance" xsi:type="dcterms:W3CDTF">2026-05-09T10:04:42Z</dcterms:modified>
  <cp:revision>0</cp:revision>
</cp:coreProperties>
</file>